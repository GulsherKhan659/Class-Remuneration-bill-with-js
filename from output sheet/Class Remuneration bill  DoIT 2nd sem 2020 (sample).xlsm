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0" yWindow="0" windowWidth="15480" windowHeight="7650"/>
  </bookViews>
  <sheets>
    <sheet name="Statement" sheetId="3" r:id="rId1"/>
    <sheet name="Sheet1" sheetId="4" r:id="rId2"/>
    <sheet name="Statement (2)" sheetId="5" r:id="rId3"/>
    <sheet name="Sheet2" sheetId="6" r:id="rId4"/>
    <sheet name="Sheet3" sheetId="7" r:id="rId5"/>
    <sheet name="Sheet4" sheetId="8" r:id="rId6"/>
    <sheet name="Sheet5" sheetId="9" r:id="rId7"/>
  </sheets>
  <definedNames>
    <definedName name="_GoBack" localSheetId="0">Statement!#REF!</definedName>
    <definedName name="_GoBack" localSheetId="2">'Statement (2)'!#REF!</definedName>
    <definedName name="_xlnm.Print_Area" localSheetId="0">Statement!$A$1:$M$53</definedName>
    <definedName name="_xlnm.Print_Titles" localSheetId="3">Sheet2!$1:$8</definedName>
  </definedNames>
  <calcPr calcId="144525"/>
</workbook>
</file>

<file path=xl/calcChain.xml><?xml version="1.0" encoding="utf-8"?>
<calcChain xmlns="http://schemas.openxmlformats.org/spreadsheetml/2006/main">
  <c r="M84" i="3" l="1"/>
  <c r="L84" i="3"/>
  <c r="M83" i="3"/>
  <c r="L83" i="3"/>
  <c r="M82" i="3"/>
  <c r="L82" i="3"/>
  <c r="M81" i="3"/>
  <c r="L81" i="3"/>
  <c r="M80" i="3"/>
  <c r="L80" i="3"/>
  <c r="M79" i="3"/>
  <c r="L79" i="3"/>
  <c r="M78" i="3"/>
  <c r="L78" i="3"/>
  <c r="M77" i="3"/>
  <c r="L77" i="3"/>
  <c r="M76" i="3"/>
  <c r="L76" i="3"/>
  <c r="M75" i="3"/>
  <c r="L75" i="3"/>
  <c r="M74" i="3"/>
  <c r="L74" i="3"/>
  <c r="M73" i="3"/>
  <c r="L73" i="3"/>
  <c r="M72" i="3"/>
  <c r="L72" i="3"/>
  <c r="M71" i="3"/>
  <c r="L71" i="3"/>
  <c r="M70" i="3"/>
  <c r="L70" i="3"/>
  <c r="M69" i="3"/>
  <c r="L69" i="3"/>
  <c r="M68" i="3"/>
  <c r="L68" i="3"/>
  <c r="M67" i="3"/>
  <c r="L67" i="3"/>
  <c r="M66" i="3"/>
  <c r="L66" i="3"/>
  <c r="M65" i="3"/>
  <c r="L65" i="3"/>
  <c r="M64" i="3"/>
  <c r="L64" i="3"/>
  <c r="M63" i="3"/>
  <c r="L63" i="3"/>
  <c r="M62" i="3"/>
  <c r="L62" i="3"/>
  <c r="M61" i="3"/>
  <c r="L61" i="3"/>
  <c r="M60" i="3"/>
  <c r="L60" i="3"/>
  <c r="L13" i="3"/>
  <c r="M21" i="3"/>
  <c r="L21" i="3"/>
  <c r="M20" i="3"/>
  <c r="L20" i="3"/>
  <c r="M19" i="3"/>
  <c r="L19" i="3"/>
  <c r="M18" i="3"/>
  <c r="L18" i="3"/>
  <c r="M17" i="3"/>
  <c r="L17" i="3"/>
  <c r="M16" i="3"/>
  <c r="L16" i="3"/>
  <c r="M15" i="3"/>
  <c r="L15" i="3"/>
  <c r="M14" i="3"/>
  <c r="L14" i="3"/>
  <c r="M13" i="3"/>
  <c r="M12" i="3"/>
  <c r="L12" i="3"/>
  <c r="M11" i="3"/>
  <c r="L11" i="3"/>
  <c r="M85" i="3" l="1"/>
  <c r="M86" i="3" s="1"/>
  <c r="M87" i="3" s="1"/>
  <c r="A39" i="5"/>
  <c r="A38" i="5"/>
  <c r="N28" i="5"/>
  <c r="M28" i="5"/>
  <c r="L28" i="5"/>
  <c r="M25" i="5"/>
  <c r="L25" i="5"/>
  <c r="K25" i="5"/>
  <c r="E25" i="5"/>
  <c r="E24" i="5"/>
  <c r="M23" i="5"/>
  <c r="N23" i="5" s="1"/>
  <c r="L23" i="5"/>
  <c r="K23" i="5"/>
  <c r="G23" i="5"/>
  <c r="H23" i="5" s="1"/>
  <c r="E22" i="5"/>
  <c r="F22" i="5" s="1"/>
  <c r="G22" i="5" s="1"/>
  <c r="H22" i="5" s="1"/>
  <c r="L20" i="5"/>
  <c r="M20" i="5" s="1"/>
  <c r="N20" i="5" s="1"/>
  <c r="K20" i="5"/>
  <c r="E20" i="5"/>
  <c r="E19" i="5"/>
  <c r="M18" i="5"/>
  <c r="N18" i="5" s="1"/>
  <c r="L18" i="5"/>
  <c r="K18" i="5"/>
  <c r="G18" i="5"/>
  <c r="H18" i="5" s="1"/>
  <c r="E17" i="5"/>
  <c r="L15" i="5"/>
  <c r="M15" i="5" s="1"/>
  <c r="N15" i="5" s="1"/>
  <c r="K15" i="5"/>
  <c r="E15" i="5"/>
  <c r="F15" i="5" s="1"/>
  <c r="E14" i="5"/>
  <c r="E13" i="5"/>
  <c r="E12" i="5"/>
  <c r="F12" i="5" s="1"/>
  <c r="L10" i="5"/>
  <c r="M10" i="5" s="1"/>
  <c r="K10" i="5"/>
  <c r="E10" i="5"/>
  <c r="E9" i="5"/>
  <c r="F9" i="5" s="1"/>
  <c r="M8" i="5"/>
  <c r="L8" i="5"/>
  <c r="K8" i="5"/>
  <c r="F8" i="5"/>
  <c r="G8" i="5" s="1"/>
  <c r="E7" i="5"/>
  <c r="F7" i="5" s="1"/>
  <c r="F17" i="5" l="1"/>
  <c r="G17" i="5" s="1"/>
  <c r="H17" i="5" s="1"/>
  <c r="N25" i="5"/>
  <c r="N8" i="5"/>
  <c r="G9" i="5"/>
  <c r="H9" i="5" s="1"/>
  <c r="I9" i="5" s="1"/>
  <c r="I22" i="5"/>
  <c r="G7" i="5"/>
  <c r="H7" i="5" s="1"/>
  <c r="I7" i="5" s="1"/>
  <c r="G12" i="5"/>
  <c r="H12" i="5" s="1"/>
  <c r="I12" i="5" s="1"/>
  <c r="F13" i="5"/>
  <c r="G13" i="5" s="1"/>
  <c r="H13" i="5" s="1"/>
  <c r="F14" i="5"/>
  <c r="G14" i="5" s="1"/>
  <c r="H14" i="5" s="1"/>
  <c r="N10" i="5"/>
  <c r="F19" i="5"/>
  <c r="G19" i="5" s="1"/>
  <c r="H19" i="5" s="1"/>
  <c r="F24" i="5"/>
  <c r="G24" i="5" s="1"/>
  <c r="H24" i="5" s="1"/>
  <c r="I17" i="5" l="1"/>
  <c r="K12" i="5"/>
  <c r="L12" i="5"/>
  <c r="K7" i="5"/>
  <c r="L7" i="5"/>
  <c r="L9" i="5"/>
  <c r="K9" i="5"/>
  <c r="L22" i="5"/>
  <c r="K22" i="5"/>
  <c r="I14" i="5"/>
  <c r="I13" i="5"/>
  <c r="I24" i="5"/>
  <c r="I19" i="5"/>
  <c r="L17" i="5" l="1"/>
  <c r="K17" i="5"/>
  <c r="L13" i="5"/>
  <c r="K13" i="5"/>
  <c r="M9" i="5"/>
  <c r="N9" i="5" s="1"/>
  <c r="K19" i="5"/>
  <c r="L19" i="5"/>
  <c r="N22" i="5"/>
  <c r="M22" i="5"/>
  <c r="K24" i="5"/>
  <c r="L24" i="5"/>
  <c r="M7" i="5"/>
  <c r="L11" i="5"/>
  <c r="M12" i="5"/>
  <c r="N12" i="5" s="1"/>
  <c r="L14" i="5"/>
  <c r="K14" i="5"/>
  <c r="M11" i="5" l="1"/>
  <c r="M17" i="5"/>
  <c r="N17" i="5"/>
  <c r="N7" i="5"/>
  <c r="N11" i="5" s="1"/>
  <c r="M24" i="5"/>
  <c r="N24" i="5"/>
  <c r="N26" i="5" s="1"/>
  <c r="M19" i="5"/>
  <c r="M21" i="5" s="1"/>
  <c r="L21" i="5"/>
  <c r="M14" i="5"/>
  <c r="N14" i="5" s="1"/>
  <c r="L16" i="5"/>
  <c r="L26" i="5"/>
  <c r="M26" i="5"/>
  <c r="M13" i="5"/>
  <c r="M16" i="5" s="1"/>
  <c r="N13" i="5"/>
  <c r="N16" i="5" l="1"/>
  <c r="N19" i="5"/>
  <c r="N21" i="5" s="1"/>
  <c r="L7" i="3" l="1"/>
  <c r="M7" i="3"/>
  <c r="L10" i="3" l="1"/>
  <c r="M10" i="3"/>
  <c r="L9" i="3"/>
  <c r="M9" i="3"/>
  <c r="L8" i="3"/>
  <c r="M8" i="3"/>
  <c r="M22" i="3" l="1"/>
  <c r="M23" i="3"/>
  <c r="M24" i="3" s="1"/>
</calcChain>
</file>

<file path=xl/sharedStrings.xml><?xml version="1.0" encoding="utf-8"?>
<sst xmlns="http://schemas.openxmlformats.org/spreadsheetml/2006/main" count="221" uniqueCount="99">
  <si>
    <t>CLASS REMUNERATION BILL</t>
  </si>
  <si>
    <t>S.No</t>
  </si>
  <si>
    <t>Name of Incumbent</t>
  </si>
  <si>
    <t>Classes/Detail of days</t>
  </si>
  <si>
    <t>Months</t>
  </si>
  <si>
    <t>Designation:</t>
  </si>
  <si>
    <t>Total CHs</t>
  </si>
  <si>
    <t>Per Lecture Amount</t>
  </si>
  <si>
    <t>Gross Pay</t>
  </si>
  <si>
    <t>7% Tax Deduction</t>
  </si>
  <si>
    <t>Net Pay</t>
  </si>
  <si>
    <t>BSCS (H) P-II, 1st Semester, 2016</t>
  </si>
  <si>
    <t>Faculty Member:  Mr. Irfan Ali Lund</t>
  </si>
  <si>
    <t>Department of Business Administration</t>
  </si>
  <si>
    <t>CHs × per lecture</t>
  </si>
  <si>
    <t>Khan Bahadur Syed Allahando Shah SINDH UNIVERSITY Campus,                                                   Naushehro Feroze</t>
  </si>
  <si>
    <t>Total</t>
  </si>
  <si>
    <t>GRAND TOTAL</t>
  </si>
  <si>
    <t>Lecturer</t>
  </si>
  <si>
    <t>This is to Certify that the above part-time employee was present on his/her duties during the month of January 2016 to April 2016. Further certified that all the  deduction have been made in this bill. The payment may be made subject to pre-Audit.</t>
  </si>
  <si>
    <t>Signature of Teacher</t>
  </si>
  <si>
    <t>Pro-Vice Chancellor</t>
  </si>
  <si>
    <t>KBSAS Sindh University Campus</t>
  </si>
  <si>
    <t>Naushahro Feroze</t>
  </si>
  <si>
    <t>Paste Revenue                                 Stamp of Rs.5</t>
  </si>
  <si>
    <t>Monday</t>
  </si>
  <si>
    <t>Thursday</t>
  </si>
  <si>
    <t>Rashid Hussain</t>
  </si>
  <si>
    <t>Linear Algebra and Analytical Geo. Of 3D (PM) (03 CHs)</t>
  </si>
  <si>
    <t>Basic Calculus and Analytical Geo. Of 2D (PM)  (03 CHs)</t>
  </si>
  <si>
    <t>BSCS (H) P-I, 2nd Semester, 2016</t>
  </si>
  <si>
    <t>BSCS (H) P-II,2nd Semester, 2016</t>
  </si>
  <si>
    <t>Discrete Structures (03 CHs)</t>
  </si>
  <si>
    <t>BSIT (H) P-II, 2nd Semester, 2016</t>
  </si>
  <si>
    <t>Linear Algebra  (03 CHs)</t>
  </si>
  <si>
    <t>DERPARTMENT OF INFORMATION TECHNOLOGY
FACULTY OF ENGINEERING AND TECHnoLOGy
University of sindh, jamshoro</t>
  </si>
  <si>
    <t xml:space="preserve">Faculty Member:  Dr. Khalil Ur Rehman Khoumbhati </t>
  </si>
  <si>
    <t xml:space="preserve">Statement showing the details of Theory and Lab conducted by the Faculty member during 2nd Semester, 2020 (Evening Programme) </t>
  </si>
  <si>
    <t>Department of Information Technology</t>
  </si>
  <si>
    <t>FET, University of Sindh, Jamshoro</t>
  </si>
  <si>
    <t>under Economical Self Finance Scheme  vide order No. Admn. Teach./180  Dated. 11.02.2021</t>
  </si>
  <si>
    <t>5% Tax Deduction</t>
  </si>
  <si>
    <r>
      <rPr>
        <b/>
        <sz val="12"/>
        <color theme="1"/>
        <rFont val="Times New Roman"/>
        <family val="1"/>
      </rPr>
      <t xml:space="preserve">ITEC-422 Professional Practices (TH) </t>
    </r>
    <r>
      <rPr>
        <sz val="12"/>
        <color theme="1"/>
        <rFont val="Times New Roman"/>
        <family val="1"/>
      </rPr>
      <t xml:space="preserve">
BSIT P-II (Group-A)
</t>
    </r>
    <r>
      <rPr>
        <sz val="11"/>
        <color theme="1"/>
        <rFont val="Times New Roman"/>
        <family val="1"/>
      </rPr>
      <t xml:space="preserve">Mon (6:00 PM to 7:00 PM) Tues (3:00 PM to 4:00 PM) </t>
    </r>
    <r>
      <rPr>
        <b/>
        <sz val="12"/>
        <color theme="1"/>
        <rFont val="Times New Roman"/>
        <family val="1"/>
      </rPr>
      <t xml:space="preserve">
</t>
    </r>
    <r>
      <rPr>
        <b/>
        <sz val="11"/>
        <color theme="1"/>
        <rFont val="Times New Roman"/>
        <family val="1"/>
      </rPr>
      <t>Theory Rs.1500/Lecture</t>
    </r>
  </si>
  <si>
    <r>
      <rPr>
        <b/>
        <sz val="12"/>
        <color theme="1"/>
        <rFont val="Times New Roman"/>
        <family val="1"/>
      </rPr>
      <t>ITEC-427 Object Oriented Analysis &amp; Design (PR)</t>
    </r>
    <r>
      <rPr>
        <sz val="12"/>
        <color theme="1"/>
        <rFont val="Times New Roman"/>
        <family val="1"/>
      </rPr>
      <t xml:space="preserve">
BSIT P-II (Group-B)
Mon (2:00 PM to 4:00 PM)</t>
    </r>
    <r>
      <rPr>
        <b/>
        <sz val="12"/>
        <color theme="1"/>
        <rFont val="Times New Roman"/>
        <family val="1"/>
      </rPr>
      <t xml:space="preserve">
</t>
    </r>
    <r>
      <rPr>
        <b/>
        <sz val="11"/>
        <color theme="1"/>
        <rFont val="Times New Roman"/>
        <family val="1"/>
      </rPr>
      <t>Lab Rs. 400/Lab Hour 
One Lab Comprising Two(02) Hours</t>
    </r>
  </si>
  <si>
    <r>
      <rPr>
        <b/>
        <sz val="12"/>
        <color theme="1"/>
        <rFont val="Times New Roman"/>
        <family val="1"/>
      </rPr>
      <t>ITEC-422 Professional Practices (TH)</t>
    </r>
    <r>
      <rPr>
        <sz val="12"/>
        <color theme="1"/>
        <rFont val="Times New Roman"/>
        <family val="1"/>
      </rPr>
      <t xml:space="preserve">
BSIT P-II (Group-B)
</t>
    </r>
    <r>
      <rPr>
        <sz val="11"/>
        <color theme="1"/>
        <rFont val="Times New Roman"/>
        <family val="1"/>
      </rPr>
      <t xml:space="preserve">Mon (4:00 PM to 5:00 PM) Tues (2:00 PM to 3:00 PM) </t>
    </r>
    <r>
      <rPr>
        <b/>
        <sz val="12"/>
        <color theme="1"/>
        <rFont val="Times New Roman"/>
        <family val="1"/>
      </rPr>
      <t xml:space="preserve">
</t>
    </r>
    <r>
      <rPr>
        <b/>
        <sz val="11"/>
        <color theme="1"/>
        <rFont val="Times New Roman"/>
        <family val="1"/>
      </rPr>
      <t>Theory Rs.1500/Lecture</t>
    </r>
  </si>
  <si>
    <t>Per Hour Amount</t>
  </si>
  <si>
    <t>Hours x  Rate</t>
  </si>
  <si>
    <t>Monthwise Dates</t>
  </si>
  <si>
    <r>
      <t xml:space="preserve">Designation: </t>
    </r>
    <r>
      <rPr>
        <sz val="12"/>
        <color theme="1"/>
        <rFont val="Times New Roman"/>
        <family val="1"/>
      </rPr>
      <t>Professor &amp; Dean FET</t>
    </r>
  </si>
  <si>
    <t>Total Amount Payable</t>
  </si>
  <si>
    <t>Chairman</t>
  </si>
  <si>
    <t>21, 22</t>
  </si>
  <si>
    <t>28, 29</t>
  </si>
  <si>
    <t>16, 17</t>
  </si>
  <si>
    <t>23, 24</t>
  </si>
  <si>
    <t>02, 03</t>
  </si>
  <si>
    <t>09, 10</t>
  </si>
  <si>
    <t>07, 08</t>
  </si>
  <si>
    <t>14, 15</t>
  </si>
  <si>
    <t>05, 06</t>
  </si>
  <si>
    <t>11, 12</t>
  </si>
  <si>
    <t>18, 19</t>
  </si>
  <si>
    <t>Credit Hours</t>
  </si>
  <si>
    <t>Total Working Hours</t>
  </si>
  <si>
    <t>This is to certify that the above part-time faculty was present on his/her duties during the months of Sept 2020 to Jan 2021. Further it is certified that all the deductions have been made in this bill. The payment may be made subject to pre-Audit.</t>
  </si>
  <si>
    <t>Faculty Member:  Dr. Abdul Waheed Mahessar</t>
  </si>
  <si>
    <r>
      <t xml:space="preserve">Designation: </t>
    </r>
    <r>
      <rPr>
        <sz val="12"/>
        <color theme="1"/>
        <rFont val="Times New Roman"/>
        <family val="1"/>
      </rPr>
      <t>Associate</t>
    </r>
    <r>
      <rPr>
        <b/>
        <sz val="12"/>
        <color theme="1"/>
        <rFont val="Times New Roman"/>
        <family val="1"/>
      </rPr>
      <t xml:space="preserve"> </t>
    </r>
    <r>
      <rPr>
        <sz val="12"/>
        <color theme="1"/>
        <rFont val="Times New Roman"/>
        <family val="1"/>
      </rPr>
      <t>Professor &amp; Chairman</t>
    </r>
  </si>
  <si>
    <r>
      <rPr>
        <b/>
        <sz val="12"/>
        <color theme="1"/>
        <rFont val="Times New Roman"/>
        <family val="1"/>
      </rPr>
      <t>ITEC-429 Computer Communication and Networks (PR)</t>
    </r>
    <r>
      <rPr>
        <sz val="12"/>
        <color theme="1"/>
        <rFont val="Times New Roman"/>
        <family val="1"/>
      </rPr>
      <t xml:space="preserve">
BSIT P-II (Group-A)
</t>
    </r>
    <r>
      <rPr>
        <sz val="11"/>
        <color theme="1"/>
        <rFont val="Times New Roman"/>
        <family val="1"/>
      </rPr>
      <t xml:space="preserve">Mon (4:00 PM to 6:00 PM) </t>
    </r>
    <r>
      <rPr>
        <b/>
        <sz val="12"/>
        <color theme="1"/>
        <rFont val="Times New Roman"/>
        <family val="1"/>
      </rPr>
      <t xml:space="preserve">
</t>
    </r>
    <r>
      <rPr>
        <b/>
        <sz val="11"/>
        <color theme="1"/>
        <rFont val="Times New Roman"/>
        <family val="1"/>
      </rPr>
      <t>Lab Rs. 400/Lab Hour 
One Lab Comprising Two(02) Hours</t>
    </r>
  </si>
  <si>
    <r>
      <rPr>
        <b/>
        <sz val="12"/>
        <color theme="1"/>
        <rFont val="Times New Roman"/>
        <family val="1"/>
      </rPr>
      <t>ITEC-425 Python Programming (PR)</t>
    </r>
    <r>
      <rPr>
        <sz val="12"/>
        <color theme="1"/>
        <rFont val="Times New Roman"/>
        <family val="1"/>
      </rPr>
      <t xml:space="preserve">
BSIT P-II (Group-A)
Wed</t>
    </r>
    <r>
      <rPr>
        <sz val="11"/>
        <color theme="1"/>
        <rFont val="Times New Roman"/>
        <family val="1"/>
      </rPr>
      <t xml:space="preserve"> (5:00 PM to 7:00 PM) </t>
    </r>
    <r>
      <rPr>
        <b/>
        <sz val="12"/>
        <color theme="1"/>
        <rFont val="Times New Roman"/>
        <family val="1"/>
      </rPr>
      <t xml:space="preserve">
</t>
    </r>
    <r>
      <rPr>
        <b/>
        <sz val="11"/>
        <color theme="1"/>
        <rFont val="Times New Roman"/>
        <family val="1"/>
      </rPr>
      <t>Lab Rs. 400/Lab Hour 
One Lab Comprising Two(02) Hours</t>
    </r>
  </si>
  <si>
    <r>
      <rPr>
        <b/>
        <sz val="12"/>
        <color theme="1"/>
        <rFont val="Times New Roman"/>
        <family val="1"/>
      </rPr>
      <t>ITEC-429 Computer Communication and Networks (PR)</t>
    </r>
    <r>
      <rPr>
        <sz val="12"/>
        <color theme="1"/>
        <rFont val="Times New Roman"/>
        <family val="1"/>
      </rPr>
      <t xml:space="preserve">
BSIT P-II (Group-B)
Fri</t>
    </r>
    <r>
      <rPr>
        <sz val="11"/>
        <color theme="1"/>
        <rFont val="Times New Roman"/>
        <family val="1"/>
      </rPr>
      <t xml:space="preserve"> (3:00 PM to 5:00 PM) </t>
    </r>
    <r>
      <rPr>
        <b/>
        <sz val="12"/>
        <color theme="1"/>
        <rFont val="Times New Roman"/>
        <family val="1"/>
      </rPr>
      <t xml:space="preserve">
</t>
    </r>
    <r>
      <rPr>
        <b/>
        <sz val="11"/>
        <color theme="1"/>
        <rFont val="Times New Roman"/>
        <family val="1"/>
      </rPr>
      <t>Lab Rs. 400/Lab Hour 
One Lab Comprising Two(02) Hours</t>
    </r>
  </si>
  <si>
    <t>21, 23</t>
  </si>
  <si>
    <t>28, 30</t>
  </si>
  <si>
    <r>
      <rPr>
        <b/>
        <sz val="12"/>
        <color theme="1"/>
        <rFont val="Times New Roman"/>
        <family val="1"/>
      </rPr>
      <t>ITEC-428 Computer Communication and Networks (TH)</t>
    </r>
    <r>
      <rPr>
        <sz val="12"/>
        <color theme="1"/>
        <rFont val="Times New Roman"/>
        <family val="1"/>
      </rPr>
      <t xml:space="preserve">
BSIT P-II (Group-A)
</t>
    </r>
    <r>
      <rPr>
        <sz val="11"/>
        <color theme="1"/>
        <rFont val="Times New Roman"/>
        <family val="1"/>
      </rPr>
      <t>Mon (3:00 PM to 4:00 PM) Wed (4:00 PM to 5:00 PM)</t>
    </r>
    <r>
      <rPr>
        <sz val="12"/>
        <color theme="1"/>
        <rFont val="Times New Roman"/>
        <family val="1"/>
      </rPr>
      <t xml:space="preserve"> </t>
    </r>
    <r>
      <rPr>
        <b/>
        <sz val="12"/>
        <color theme="1"/>
        <rFont val="Times New Roman"/>
        <family val="1"/>
      </rPr>
      <t xml:space="preserve">
</t>
    </r>
    <r>
      <rPr>
        <b/>
        <sz val="11"/>
        <color theme="1"/>
        <rFont val="Times New Roman"/>
        <family val="1"/>
      </rPr>
      <t>Theory Rs.1200/Lecture</t>
    </r>
  </si>
  <si>
    <r>
      <rPr>
        <b/>
        <sz val="12"/>
        <color theme="1"/>
        <rFont val="Times New Roman"/>
        <family val="1"/>
      </rPr>
      <t>ITEC-428 Computer Communication and Networks (TH)</t>
    </r>
    <r>
      <rPr>
        <sz val="12"/>
        <color theme="1"/>
        <rFont val="Times New Roman"/>
        <family val="1"/>
      </rPr>
      <t xml:space="preserve">
BSIT P-II (Group-B)
</t>
    </r>
    <r>
      <rPr>
        <sz val="11"/>
        <color theme="1"/>
        <rFont val="Times New Roman"/>
        <family val="1"/>
      </rPr>
      <t xml:space="preserve">Tue (4:00 PM to 5:00 PM) Fri (5:00 PM to 6:00 PM) </t>
    </r>
    <r>
      <rPr>
        <b/>
        <sz val="12"/>
        <color theme="1"/>
        <rFont val="Times New Roman"/>
        <family val="1"/>
      </rPr>
      <t xml:space="preserve">
</t>
    </r>
    <r>
      <rPr>
        <b/>
        <sz val="11"/>
        <color theme="1"/>
        <rFont val="Times New Roman"/>
        <family val="1"/>
      </rPr>
      <t>Theory Rs.1200/Lecture</t>
    </r>
  </si>
  <si>
    <t>2, 4</t>
  </si>
  <si>
    <t>9, 11</t>
  </si>
  <si>
    <t>23, 25</t>
  </si>
  <si>
    <t>7, 9</t>
  </si>
  <si>
    <t>14, 16</t>
  </si>
  <si>
    <t>4, 6</t>
  </si>
  <si>
    <t>11, 13</t>
  </si>
  <si>
    <t>18, 20</t>
  </si>
  <si>
    <t>22, 25</t>
  </si>
  <si>
    <t>3, 6</t>
  </si>
  <si>
    <t>10, 13</t>
  </si>
  <si>
    <t>17, 20</t>
  </si>
  <si>
    <t>1, 4</t>
  </si>
  <si>
    <t>8, 11</t>
  </si>
  <si>
    <t>15, 18</t>
  </si>
  <si>
    <t>05, 08</t>
  </si>
  <si>
    <t>12, 15</t>
  </si>
  <si>
    <t>19, 22</t>
  </si>
  <si>
    <t>4, 5</t>
  </si>
  <si>
    <t>Sma</t>
  </si>
  <si>
    <t>Hello</t>
  </si>
  <si>
    <t xml:space="preserve">DERPARTMENT OF INFORMATION TECHNOLOGY
</t>
  </si>
  <si>
    <r>
      <rPr>
        <b/>
        <sz val="11"/>
        <color theme="1"/>
        <rFont val="Calibri"/>
        <family val="2"/>
        <scheme val="minor"/>
      </rPr>
      <t>Faculty Member:</t>
    </r>
    <r>
      <rPr>
        <sz val="11"/>
        <color theme="1"/>
        <rFont val="Calibri"/>
        <family val="2"/>
        <scheme val="minor"/>
      </rPr>
      <t xml:space="preserve">  Dr. Khalil Ur Rehman Khoumbhati </t>
    </r>
  </si>
  <si>
    <t>FACULTY OF ENGINEERING AND TECHNOLOGY</t>
  </si>
  <si>
    <t>UNIVERSITY OF SINDH, JAMSHORO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</si>
</sst>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
  </numFmts>
  <fonts count="22" x14ac:knownFonts="1">
    <font>
      <sz val="11"/>
      <color theme="1"/>
      <name val="Calibri"/>
      <family val="2"/>
      <scheme val="minor"/>
    </font>
    <font>
      <b/>
      <sz val="12"/>
      <color theme="1"/>
      <name val="Times New Roman"/>
      <family val="1"/>
    </font>
    <font>
      <b/>
      <sz val="15"/>
      <color theme="1"/>
      <name val="Algerian"/>
      <family val="5"/>
    </font>
    <font>
      <b/>
      <sz val="12"/>
      <color theme="1"/>
      <name val="Copperplate Gothic Bold"/>
      <family val="2"/>
    </font>
    <font>
      <b/>
      <u/>
      <sz val="13"/>
      <color theme="1"/>
      <name val="Bodoni MT Black"/>
      <family val="1"/>
    </font>
    <font>
      <b/>
      <sz val="12"/>
      <color theme="0" tint="-0.249977111117893"/>
      <name val="Times New Roman"/>
      <family val="1"/>
    </font>
    <font>
      <sz val="12"/>
      <color theme="1"/>
      <name val="Times New Roman"/>
      <family val="1"/>
    </font>
    <font>
      <sz val="12"/>
      <color theme="1"/>
      <name val="Calibri"/>
      <family val="2"/>
      <scheme val="minor"/>
    </font>
    <font>
      <b/>
      <sz val="12"/>
      <color theme="1"/>
      <name val="Baskerville Old Face"/>
      <family val="1"/>
    </font>
    <font>
      <b/>
      <sz val="12"/>
      <color theme="1"/>
      <name val="Cambria"/>
      <family val="1"/>
      <scheme val="major"/>
    </font>
    <font>
      <b/>
      <sz val="12"/>
      <name val="Cambria"/>
      <family val="1"/>
      <scheme val="major"/>
    </font>
    <font>
      <sz val="12"/>
      <name val="Cambria"/>
      <family val="1"/>
      <scheme val="major"/>
    </font>
    <font>
      <sz val="12"/>
      <color theme="0" tint="-0.499984740745262"/>
      <name val="Times New Roman"/>
      <family val="1"/>
    </font>
    <font>
      <b/>
      <sz val="12"/>
      <color theme="0" tint="-0.14999847407452621"/>
      <name val="Times New Roman"/>
      <family val="1"/>
    </font>
    <font>
      <sz val="10"/>
      <color theme="1"/>
      <name val="Times New Roman"/>
      <family val="1"/>
    </font>
    <font>
      <b/>
      <sz val="10"/>
      <name val="Arial"/>
      <family val="2"/>
    </font>
    <font>
      <b/>
      <sz val="11"/>
      <color theme="1"/>
      <name val="Times New Roman"/>
      <family val="1"/>
    </font>
    <font>
      <sz val="11"/>
      <color theme="1"/>
      <name val="Times New Roman"/>
      <family val="1"/>
    </font>
    <font>
      <b/>
      <sz val="11"/>
      <color theme="1"/>
      <name val="Calibri"/>
      <family val="2"/>
      <scheme val="minor"/>
    </font>
    <font>
      <b/>
      <sz val="14"/>
      <color theme="1"/>
      <name val="Calibri"/>
      <family val="2"/>
      <scheme val="minor"/>
    </font>
    <font>
      <b/>
      <sz val="16"/>
      <color theme="1"/>
      <name val="Calibri"/>
      <family val="2"/>
      <scheme val="minor"/>
    </font>
    <font>
      <b/>
      <sz val="11"/>
      <color theme="1"/>
      <name val="Arial Black"/>
      <family val="2"/>
    </font>
  </fonts>
  <fills count="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0" tint="-4.9989318521683403E-2"/>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double">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s>
  <cellStyleXfs count="1">
    <xf numFmtId="0" fontId="0" fillId="0" borderId="0"/>
  </cellStyleXfs>
  <cellXfs count="125">
    <xf numFmtId="0" fontId="0" fillId="0" borderId="0" xfId="0"/>
    <xf numFmtId="14" fontId="0" fillId="0" borderId="0" xfId="0" applyNumberFormat="1"/>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10" xfId="0" applyFont="1" applyFill="1" applyBorder="1" applyAlignment="1">
      <alignment horizontal="center" vertical="center" wrapText="1"/>
    </xf>
    <xf numFmtId="0" fontId="6" fillId="3" borderId="1" xfId="0" applyFont="1" applyFill="1" applyBorder="1" applyAlignment="1">
      <alignment horizontal="left" vertical="center" wrapText="1"/>
    </xf>
    <xf numFmtId="17" fontId="6" fillId="3" borderId="1" xfId="0" applyNumberFormat="1" applyFont="1" applyFill="1" applyBorder="1" applyAlignment="1">
      <alignment horizontal="center" vertical="center" wrapText="1"/>
    </xf>
    <xf numFmtId="164" fontId="6" fillId="3" borderId="1" xfId="0" applyNumberFormat="1" applyFont="1" applyFill="1" applyBorder="1" applyAlignment="1">
      <alignment horizontal="center" vertical="center" wrapText="1"/>
    </xf>
    <xf numFmtId="164" fontId="6" fillId="0" borderId="1" xfId="0" applyNumberFormat="1" applyFont="1" applyFill="1" applyBorder="1" applyAlignment="1">
      <alignment horizontal="center" vertical="center" wrapText="1"/>
    </xf>
    <xf numFmtId="0" fontId="6" fillId="0" borderId="1" xfId="0" applyFont="1" applyBorder="1" applyAlignment="1">
      <alignment horizontal="center" vertical="center"/>
    </xf>
    <xf numFmtId="0" fontId="1" fillId="4" borderId="1" xfId="0" applyFont="1" applyFill="1" applyBorder="1" applyAlignment="1">
      <alignment horizontal="center" vertical="center"/>
    </xf>
    <xf numFmtId="0" fontId="7" fillId="0" borderId="0" xfId="0" applyFont="1"/>
    <xf numFmtId="0" fontId="9" fillId="5" borderId="13" xfId="0" applyFont="1" applyFill="1" applyBorder="1" applyAlignment="1">
      <alignment horizontal="center" vertical="center"/>
    </xf>
    <xf numFmtId="0" fontId="6" fillId="3" borderId="0" xfId="0" applyFont="1" applyFill="1" applyAlignment="1">
      <alignment horizontal="left" vertical="center"/>
    </xf>
    <xf numFmtId="0" fontId="5" fillId="0" borderId="0" xfId="0" applyFont="1" applyAlignment="1">
      <alignment vertical="center"/>
    </xf>
    <xf numFmtId="0" fontId="13" fillId="0" borderId="0" xfId="0" applyFont="1" applyAlignment="1">
      <alignment vertical="center"/>
    </xf>
    <xf numFmtId="0" fontId="0" fillId="0" borderId="0" xfId="0" applyFill="1" applyAlignment="1">
      <alignment vertical="center"/>
    </xf>
    <xf numFmtId="0" fontId="0" fillId="0" borderId="0" xfId="0" applyAlignment="1">
      <alignment vertical="center"/>
    </xf>
    <xf numFmtId="0" fontId="1" fillId="0" borderId="1" xfId="0" applyFont="1" applyFill="1" applyBorder="1" applyAlignment="1">
      <alignment horizontal="center" vertical="center"/>
    </xf>
    <xf numFmtId="0" fontId="1" fillId="0" borderId="0" xfId="0" applyFont="1" applyAlignment="1">
      <alignment vertical="center"/>
    </xf>
    <xf numFmtId="0" fontId="14" fillId="0" borderId="1" xfId="0" applyFont="1" applyBorder="1"/>
    <xf numFmtId="0" fontId="1" fillId="6" borderId="3" xfId="0" applyFont="1" applyFill="1" applyBorder="1" applyAlignment="1">
      <alignment horizontal="center" vertical="center" wrapText="1"/>
    </xf>
    <xf numFmtId="0" fontId="1" fillId="6" borderId="4" xfId="0" applyFont="1" applyFill="1" applyBorder="1" applyAlignment="1">
      <alignment horizontal="center" vertical="center" wrapText="1"/>
    </xf>
    <xf numFmtId="0" fontId="1" fillId="6" borderId="6" xfId="0" applyFont="1" applyFill="1" applyBorder="1" applyAlignment="1">
      <alignment horizontal="center" vertical="center" wrapText="1"/>
    </xf>
    <xf numFmtId="0" fontId="1" fillId="6" borderId="10" xfId="0" applyFont="1" applyFill="1" applyBorder="1" applyAlignment="1">
      <alignment horizontal="center" vertical="center" wrapText="1"/>
    </xf>
    <xf numFmtId="0" fontId="15" fillId="0" borderId="0" xfId="0" applyNumberFormat="1" applyFont="1" applyFill="1" applyBorder="1" applyAlignment="1"/>
    <xf numFmtId="0" fontId="1" fillId="6" borderId="24" xfId="0" applyFont="1" applyFill="1" applyBorder="1" applyAlignment="1">
      <alignment horizontal="center" vertical="center"/>
    </xf>
    <xf numFmtId="164" fontId="17" fillId="3" borderId="1" xfId="0" applyNumberFormat="1" applyFont="1" applyFill="1" applyBorder="1" applyAlignment="1">
      <alignment horizontal="center" vertical="center" wrapText="1"/>
    </xf>
    <xf numFmtId="164" fontId="17" fillId="0" borderId="1" xfId="0" applyNumberFormat="1" applyFont="1" applyFill="1" applyBorder="1" applyAlignment="1">
      <alignment horizontal="center" vertical="center" wrapText="1"/>
    </xf>
    <xf numFmtId="164" fontId="17" fillId="0" borderId="24" xfId="0" applyNumberFormat="1" applyFont="1" applyFill="1" applyBorder="1" applyAlignment="1">
      <alignment horizontal="center" vertical="center" wrapText="1"/>
    </xf>
    <xf numFmtId="164" fontId="17" fillId="3" borderId="28" xfId="0" applyNumberFormat="1" applyFont="1" applyFill="1" applyBorder="1" applyAlignment="1">
      <alignment horizontal="center" vertical="center" wrapText="1"/>
    </xf>
    <xf numFmtId="164" fontId="17" fillId="0" borderId="28" xfId="0" applyNumberFormat="1" applyFont="1" applyFill="1" applyBorder="1" applyAlignment="1">
      <alignment horizontal="center" vertical="center" wrapText="1"/>
    </xf>
    <xf numFmtId="164" fontId="17" fillId="3" borderId="26" xfId="0" applyNumberFormat="1" applyFont="1" applyFill="1" applyBorder="1" applyAlignment="1">
      <alignment horizontal="center" vertical="center" wrapText="1"/>
    </xf>
    <xf numFmtId="164" fontId="17" fillId="0" borderId="26" xfId="0" applyNumberFormat="1" applyFont="1" applyFill="1" applyBorder="1" applyAlignment="1">
      <alignment horizontal="center" vertical="center" wrapText="1"/>
    </xf>
    <xf numFmtId="17" fontId="17" fillId="3" borderId="24" xfId="0" applyNumberFormat="1" applyFont="1" applyFill="1" applyBorder="1" applyAlignment="1">
      <alignment horizontal="center" vertical="center" wrapText="1"/>
    </xf>
    <xf numFmtId="17" fontId="17" fillId="3" borderId="1" xfId="0" applyNumberFormat="1" applyFont="1" applyFill="1" applyBorder="1" applyAlignment="1">
      <alignment horizontal="center" vertical="center" wrapText="1"/>
    </xf>
    <xf numFmtId="17" fontId="17" fillId="3" borderId="28" xfId="0" applyNumberFormat="1" applyFont="1" applyFill="1" applyBorder="1" applyAlignment="1">
      <alignment horizontal="center" vertical="center" wrapText="1"/>
    </xf>
    <xf numFmtId="17" fontId="17" fillId="3" borderId="26" xfId="0" applyNumberFormat="1" applyFont="1" applyFill="1" applyBorder="1" applyAlignment="1">
      <alignment horizontal="center" vertical="center" wrapText="1"/>
    </xf>
    <xf numFmtId="0" fontId="16" fillId="0" borderId="24" xfId="0" applyFont="1" applyFill="1" applyBorder="1" applyAlignment="1">
      <alignment horizontal="center" vertical="center" wrapText="1"/>
    </xf>
    <xf numFmtId="0" fontId="17" fillId="0" borderId="24" xfId="0" applyFont="1" applyBorder="1" applyAlignment="1">
      <alignment horizontal="center" vertical="center"/>
    </xf>
    <xf numFmtId="0" fontId="16" fillId="0" borderId="1" xfId="0" applyFont="1" applyFill="1" applyBorder="1" applyAlignment="1">
      <alignment horizontal="center" vertical="center"/>
    </xf>
    <xf numFmtId="0" fontId="17" fillId="0" borderId="1" xfId="0" applyFont="1" applyBorder="1" applyAlignment="1">
      <alignment horizontal="center" vertical="center"/>
    </xf>
    <xf numFmtId="0" fontId="16" fillId="0" borderId="28" xfId="0" applyFont="1" applyFill="1" applyBorder="1" applyAlignment="1">
      <alignment horizontal="center" vertical="center"/>
    </xf>
    <xf numFmtId="0" fontId="17" fillId="0" borderId="28" xfId="0" applyFont="1" applyBorder="1" applyAlignment="1">
      <alignment horizontal="center" vertical="center"/>
    </xf>
    <xf numFmtId="0" fontId="16" fillId="0" borderId="26" xfId="0" applyFont="1" applyFill="1" applyBorder="1" applyAlignment="1">
      <alignment horizontal="center" vertical="center"/>
    </xf>
    <xf numFmtId="0" fontId="17" fillId="0" borderId="10" xfId="0" applyFont="1" applyBorder="1" applyAlignment="1">
      <alignment horizontal="center" vertical="center"/>
    </xf>
    <xf numFmtId="0" fontId="17" fillId="0" borderId="26" xfId="0" applyFont="1" applyBorder="1" applyAlignment="1">
      <alignment horizontal="center" vertical="center"/>
    </xf>
    <xf numFmtId="0" fontId="1" fillId="0" borderId="0" xfId="0" applyFont="1" applyBorder="1" applyAlignment="1">
      <alignment horizontal="right" vertical="center"/>
    </xf>
    <xf numFmtId="0" fontId="1" fillId="0" borderId="25" xfId="0" applyFont="1" applyBorder="1" applyAlignment="1">
      <alignment horizontal="right" vertical="center"/>
    </xf>
    <xf numFmtId="0" fontId="11" fillId="0" borderId="14" xfId="0" applyFont="1" applyBorder="1" applyAlignment="1">
      <alignment horizontal="center" vertical="top" wrapText="1"/>
    </xf>
    <xf numFmtId="0" fontId="11" fillId="0" borderId="15" xfId="0" applyFont="1" applyBorder="1" applyAlignment="1">
      <alignment horizontal="center" vertical="top" wrapText="1"/>
    </xf>
    <xf numFmtId="0" fontId="11" fillId="0" borderId="17" xfId="0" applyFont="1" applyBorder="1" applyAlignment="1">
      <alignment horizontal="center" vertical="top" wrapText="1"/>
    </xf>
    <xf numFmtId="0" fontId="11" fillId="0" borderId="0" xfId="0" applyFont="1" applyBorder="1" applyAlignment="1">
      <alignment horizontal="center" vertical="top" wrapText="1"/>
    </xf>
    <xf numFmtId="0" fontId="11" fillId="0" borderId="30" xfId="0" applyFont="1" applyBorder="1" applyAlignment="1">
      <alignment horizontal="center" vertical="top" wrapText="1"/>
    </xf>
    <xf numFmtId="0" fontId="11" fillId="0" borderId="16" xfId="0" applyFont="1" applyBorder="1" applyAlignment="1">
      <alignment horizontal="center" vertical="top" wrapText="1"/>
    </xf>
    <xf numFmtId="0" fontId="11" fillId="0" borderId="31" xfId="0" applyFont="1" applyBorder="1" applyAlignment="1">
      <alignment horizontal="center" vertical="top" wrapText="1"/>
    </xf>
    <xf numFmtId="0" fontId="11" fillId="0" borderId="18" xfId="0" applyFont="1" applyBorder="1" applyAlignment="1">
      <alignment horizontal="center" vertical="top" wrapText="1"/>
    </xf>
    <xf numFmtId="0" fontId="11" fillId="0" borderId="32" xfId="0" applyFont="1" applyBorder="1" applyAlignment="1">
      <alignment horizontal="center" vertical="top" wrapText="1"/>
    </xf>
    <xf numFmtId="0" fontId="11" fillId="0" borderId="20" xfId="0" applyFont="1" applyBorder="1" applyAlignment="1">
      <alignment horizontal="center" vertical="top" wrapText="1"/>
    </xf>
    <xf numFmtId="0" fontId="11" fillId="0" borderId="21" xfId="0" applyFont="1" applyBorder="1" applyAlignment="1">
      <alignment horizontal="center" vertical="top" wrapText="1"/>
    </xf>
    <xf numFmtId="0" fontId="9" fillId="0" borderId="17" xfId="0" applyFont="1" applyBorder="1" applyAlignment="1">
      <alignment horizontal="center"/>
    </xf>
    <xf numFmtId="0" fontId="9" fillId="0" borderId="0" xfId="0" applyFont="1" applyBorder="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6" fillId="0" borderId="8" xfId="0" applyFont="1" applyBorder="1" applyAlignment="1">
      <alignment horizontal="center" vertical="center" wrapText="1"/>
    </xf>
    <xf numFmtId="0" fontId="6" fillId="0" borderId="9" xfId="0" applyFont="1" applyBorder="1" applyAlignment="1">
      <alignment horizontal="center" vertical="center" wrapText="1"/>
    </xf>
    <xf numFmtId="0" fontId="6" fillId="0" borderId="29" xfId="0" applyFont="1" applyBorder="1" applyAlignment="1">
      <alignment horizontal="center" vertical="center" wrapText="1"/>
    </xf>
    <xf numFmtId="0" fontId="6" fillId="0" borderId="10" xfId="0" applyFont="1" applyBorder="1" applyAlignment="1">
      <alignment horizontal="left" vertical="center" wrapText="1"/>
    </xf>
    <xf numFmtId="0" fontId="6" fillId="0" borderId="23" xfId="0" applyFont="1" applyBorder="1" applyAlignment="1">
      <alignment horizontal="left" vertical="center" wrapText="1"/>
    </xf>
    <xf numFmtId="0" fontId="6" fillId="0" borderId="27" xfId="0" applyFont="1" applyBorder="1" applyAlignment="1">
      <alignment horizontal="left" vertical="center" wrapText="1"/>
    </xf>
    <xf numFmtId="0" fontId="6" fillId="0" borderId="0" xfId="0" applyFont="1" applyAlignment="1">
      <alignment horizontal="left" vertical="center"/>
    </xf>
    <xf numFmtId="0" fontId="1" fillId="6" borderId="5" xfId="0" applyFont="1" applyFill="1" applyBorder="1" applyAlignment="1">
      <alignment horizontal="center" vertical="center" wrapText="1"/>
    </xf>
    <xf numFmtId="0" fontId="1" fillId="6" borderId="2" xfId="0" applyFont="1" applyFill="1" applyBorder="1" applyAlignment="1">
      <alignment horizontal="center" vertical="center" wrapText="1"/>
    </xf>
    <xf numFmtId="0" fontId="1" fillId="6" borderId="6" xfId="0" applyFont="1" applyFill="1" applyBorder="1" applyAlignment="1">
      <alignment horizontal="center" vertical="center" wrapText="1"/>
    </xf>
    <xf numFmtId="0" fontId="2" fillId="0" borderId="0" xfId="0" applyFont="1" applyAlignment="1">
      <alignment horizontal="center" wrapText="1"/>
    </xf>
    <xf numFmtId="0" fontId="4" fillId="0" borderId="0" xfId="0" applyFont="1" applyAlignment="1">
      <alignment horizontal="center" vertical="center"/>
    </xf>
    <xf numFmtId="0" fontId="1" fillId="0" borderId="0" xfId="0" applyFont="1" applyAlignment="1">
      <alignment horizontal="left" vertical="center"/>
    </xf>
    <xf numFmtId="0" fontId="1" fillId="0" borderId="11" xfId="0" applyFont="1" applyBorder="1" applyAlignment="1">
      <alignment horizontal="right" vertical="center"/>
    </xf>
    <xf numFmtId="0" fontId="1" fillId="0" borderId="12" xfId="0" applyFont="1" applyBorder="1" applyAlignment="1">
      <alignment horizontal="right" vertical="center"/>
    </xf>
    <xf numFmtId="0" fontId="8" fillId="5" borderId="0" xfId="0" applyFont="1" applyFill="1" applyBorder="1" applyAlignment="1">
      <alignment horizontal="right" vertical="center"/>
    </xf>
    <xf numFmtId="0" fontId="8" fillId="5" borderId="22" xfId="0" applyFont="1" applyFill="1" applyBorder="1" applyAlignment="1">
      <alignment horizontal="right" vertical="center"/>
    </xf>
    <xf numFmtId="0" fontId="10" fillId="0" borderId="14" xfId="0" applyFont="1" applyBorder="1" applyAlignment="1">
      <alignment horizontal="center" vertical="center" wrapText="1"/>
    </xf>
    <xf numFmtId="0" fontId="10" fillId="0" borderId="16" xfId="0" applyFont="1" applyBorder="1" applyAlignment="1">
      <alignment horizontal="center" vertical="center" wrapText="1"/>
    </xf>
    <xf numFmtId="0" fontId="10" fillId="0" borderId="17" xfId="0" applyFont="1" applyBorder="1" applyAlignment="1">
      <alignment horizontal="center" vertical="center" wrapText="1"/>
    </xf>
    <xf numFmtId="0" fontId="10" fillId="0" borderId="18" xfId="0" applyFont="1" applyBorder="1" applyAlignment="1">
      <alignment horizontal="center" vertical="center" wrapText="1"/>
    </xf>
    <xf numFmtId="0" fontId="11" fillId="0" borderId="15" xfId="0" applyFont="1" applyBorder="1" applyAlignment="1">
      <alignment horizontal="center" vertical="center" wrapText="1"/>
    </xf>
    <xf numFmtId="0" fontId="11" fillId="0" borderId="16" xfId="0" applyFont="1" applyBorder="1" applyAlignment="1">
      <alignment horizontal="center" vertical="center" wrapText="1"/>
    </xf>
    <xf numFmtId="0" fontId="11" fillId="0" borderId="0" xfId="0" applyFont="1" applyBorder="1" applyAlignment="1">
      <alignment horizontal="center" vertical="center" wrapText="1"/>
    </xf>
    <xf numFmtId="0" fontId="11" fillId="0" borderId="18" xfId="0" applyFont="1" applyBorder="1" applyAlignment="1">
      <alignment horizontal="center" vertical="center" wrapText="1"/>
    </xf>
    <xf numFmtId="0" fontId="12" fillId="0" borderId="14" xfId="0" applyFont="1" applyBorder="1" applyAlignment="1">
      <alignment horizontal="center" vertical="center" wrapText="1"/>
    </xf>
    <xf numFmtId="0" fontId="12" fillId="0" borderId="15" xfId="0" applyFont="1" applyBorder="1" applyAlignment="1">
      <alignment horizontal="center" vertical="center" wrapText="1"/>
    </xf>
    <xf numFmtId="0" fontId="12" fillId="0" borderId="16" xfId="0" applyFont="1" applyBorder="1" applyAlignment="1">
      <alignment horizontal="center" vertical="center" wrapText="1"/>
    </xf>
    <xf numFmtId="0" fontId="12" fillId="0" borderId="17"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18" xfId="0" applyFont="1" applyBorder="1" applyAlignment="1">
      <alignment horizontal="center" vertical="center" wrapText="1"/>
    </xf>
    <xf numFmtId="0" fontId="12" fillId="0" borderId="19" xfId="0" applyFont="1" applyBorder="1" applyAlignment="1">
      <alignment horizontal="center" vertical="center" wrapText="1"/>
    </xf>
    <xf numFmtId="0" fontId="12" fillId="0" borderId="20" xfId="0" applyFont="1" applyBorder="1" applyAlignment="1">
      <alignment horizontal="center" vertical="center" wrapText="1"/>
    </xf>
    <xf numFmtId="0" fontId="12" fillId="0" borderId="21" xfId="0" applyFont="1" applyBorder="1" applyAlignment="1">
      <alignment horizontal="center" vertical="center" wrapText="1"/>
    </xf>
    <xf numFmtId="0" fontId="7" fillId="0" borderId="17" xfId="0" applyFont="1" applyBorder="1" applyAlignment="1">
      <alignment horizontal="center"/>
    </xf>
    <xf numFmtId="0" fontId="7" fillId="0" borderId="0" xfId="0" applyFont="1" applyBorder="1" applyAlignment="1">
      <alignment horizontal="center"/>
    </xf>
    <xf numFmtId="0" fontId="7" fillId="0" borderId="18" xfId="0" applyFont="1" applyBorder="1" applyAlignment="1">
      <alignment horizontal="center"/>
    </xf>
    <xf numFmtId="0" fontId="9" fillId="0" borderId="18" xfId="0" applyFont="1" applyBorder="1" applyAlignment="1">
      <alignment horizontal="center"/>
    </xf>
    <xf numFmtId="0" fontId="10" fillId="0" borderId="19" xfId="0" applyFont="1" applyBorder="1" applyAlignment="1">
      <alignment horizontal="center" vertical="center" wrapText="1"/>
    </xf>
    <xf numFmtId="0" fontId="10" fillId="0" borderId="21" xfId="0" applyFont="1" applyBorder="1" applyAlignment="1">
      <alignment horizontal="center" vertical="center" wrapText="1"/>
    </xf>
    <xf numFmtId="0" fontId="9" fillId="0" borderId="21" xfId="0" applyFont="1" applyBorder="1" applyAlignment="1">
      <alignment horizontal="center"/>
    </xf>
    <xf numFmtId="0" fontId="6" fillId="0" borderId="7" xfId="0" applyFont="1" applyBorder="1" applyAlignment="1">
      <alignment horizontal="center" vertical="center" wrapText="1"/>
    </xf>
    <xf numFmtId="0" fontId="3" fillId="2" borderId="0" xfId="0" applyFont="1" applyFill="1" applyAlignment="1">
      <alignment horizontal="center" vertical="center"/>
    </xf>
    <xf numFmtId="0" fontId="1" fillId="0" borderId="0" xfId="0" applyFont="1" applyAlignment="1">
      <alignment vertical="center"/>
    </xf>
    <xf numFmtId="0" fontId="1" fillId="2" borderId="5"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19" fillId="0" borderId="0" xfId="0" applyFont="1" applyAlignment="1">
      <alignment horizontal="center"/>
    </xf>
    <xf numFmtId="0" fontId="20" fillId="0" borderId="0" xfId="0" applyFont="1" applyAlignment="1">
      <alignment horizontal="center" wrapText="1"/>
    </xf>
    <xf numFmtId="0" fontId="20" fillId="0" borderId="0" xfId="0" applyFont="1" applyAlignment="1">
      <alignment horizontal="center"/>
    </xf>
    <xf numFmtId="0" fontId="21" fillId="0" borderId="0" xfId="0" applyFont="1" applyAlignment="1">
      <alignment horizontal="center"/>
    </xf>
    <xf numFmtId="0" fontId="0" fillId="0" borderId="0" xfId="0" applyAlignment="1">
      <alignment horizontal="left" wrapText="1"/>
    </xf>
    <xf numFmtId="0" fontId="0" fillId="0" borderId="0" xfId="0" applyAlignment="1">
      <alignment horizontal="left"/>
    </xf>
    <xf numFmtId="0" fontId="0" fillId="0" borderId="0" xfId="0" applyFont="1"/>
    <xf numFmtId="0" fontId="18" fillId="6" borderId="3" xfId="0" applyFont="1" applyFill="1" applyBorder="1" applyAlignment="1">
      <alignment horizontal="center" vertical="center" wrapText="1"/>
    </xf>
    <xf numFmtId="0" fontId="18" fillId="6" borderId="4" xfId="0" applyFont="1" applyFill="1" applyBorder="1" applyAlignment="1">
      <alignment horizontal="center" vertical="center" wrapText="1"/>
    </xf>
    <xf numFmtId="0" fontId="18" fillId="6" borderId="5" xfId="0" applyFont="1" applyFill="1" applyBorder="1" applyAlignment="1">
      <alignment horizontal="center" vertical="center" wrapText="1"/>
    </xf>
    <xf numFmtId="0" fontId="18" fillId="6" borderId="2" xfId="0" applyFont="1" applyFill="1" applyBorder="1" applyAlignment="1">
      <alignment horizontal="center" vertical="center" wrapText="1"/>
    </xf>
    <xf numFmtId="0" fontId="18" fillId="6" borderId="6" xfId="0" applyFont="1" applyFill="1" applyBorder="1" applyAlignment="1">
      <alignment horizontal="center" vertical="center" wrapText="1"/>
    </xf>
    <xf numFmtId="0" fontId="18" fillId="6" borderId="6" xfId="0" applyFont="1" applyFill="1" applyBorder="1" applyAlignment="1">
      <alignment horizontal="center" vertical="center" wrapText="1"/>
    </xf>
    <xf numFmtId="0" fontId="0" fillId="0" borderId="20" xfId="0" applyBorder="1" applyAlignment="1">
      <alignment horizontal="left"/>
    </xf>
  </cellXfs>
  <cellStyles count="1">
    <cellStyle name="Normal" xfId="0" builtinId="0"/>
  </cellStyles>
  <dxfs count="0"/>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0</xdr:col>
      <xdr:colOff>9524</xdr:colOff>
      <xdr:row>0</xdr:row>
      <xdr:rowOff>28575</xdr:rowOff>
    </xdr:from>
    <xdr:to>
      <xdr:col>1</xdr:col>
      <xdr:colOff>404811</xdr:colOff>
      <xdr:row>1</xdr:row>
      <xdr:rowOff>0</xdr:rowOff>
    </xdr:to>
    <xdr:pic>
      <xdr:nvPicPr>
        <xdr:cNvPr id="4" name="Picture 1" descr="Description: Description: Univ_Logo"/>
        <xdr:cNvPicPr>
          <a:picLocks noChangeAspect="1" noChangeArrowheads="1"/>
        </xdr:cNvPicPr>
      </xdr:nvPicPr>
      <xdr:blipFill>
        <a:blip xmlns:r="http://schemas.openxmlformats.org/officeDocument/2006/relationships" r:embed="rId1" cstate="print"/>
        <a:srcRect/>
        <a:stretch>
          <a:fillRect/>
        </a:stretch>
      </xdr:blipFill>
      <xdr:spPr bwMode="auto">
        <a:xfrm>
          <a:off x="9524" y="28575"/>
          <a:ext cx="752475" cy="885825"/>
        </a:xfrm>
        <a:prstGeom prst="rect">
          <a:avLst/>
        </a:prstGeom>
        <a:noFill/>
      </xdr:spPr>
    </xdr:pic>
    <xdr:clientData/>
  </xdr:twoCellAnchor>
  <xdr:twoCellAnchor>
    <xdr:from>
      <xdr:col>0</xdr:col>
      <xdr:colOff>9524</xdr:colOff>
      <xdr:row>53</xdr:row>
      <xdr:rowOff>28575</xdr:rowOff>
    </xdr:from>
    <xdr:to>
      <xdr:col>1</xdr:col>
      <xdr:colOff>404811</xdr:colOff>
      <xdr:row>54</xdr:row>
      <xdr:rowOff>0</xdr:rowOff>
    </xdr:to>
    <xdr:pic>
      <xdr:nvPicPr>
        <xdr:cNvPr id="3" name="Picture 1" descr="Description: Description: Univ_Logo"/>
        <xdr:cNvPicPr>
          <a:picLocks noChangeAspect="1" noChangeArrowheads="1"/>
        </xdr:cNvPicPr>
      </xdr:nvPicPr>
      <xdr:blipFill>
        <a:blip xmlns:r="http://schemas.openxmlformats.org/officeDocument/2006/relationships" r:embed="rId1" cstate="print"/>
        <a:srcRect/>
        <a:stretch>
          <a:fillRect/>
        </a:stretch>
      </xdr:blipFill>
      <xdr:spPr bwMode="auto">
        <a:xfrm>
          <a:off x="9524" y="28575"/>
          <a:ext cx="690562" cy="838200"/>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523875</xdr:colOff>
      <xdr:row>0</xdr:row>
      <xdr:rowOff>40482</xdr:rowOff>
    </xdr:from>
    <xdr:to>
      <xdr:col>13</xdr:col>
      <xdr:colOff>616743</xdr:colOff>
      <xdr:row>2</xdr:row>
      <xdr:rowOff>38099</xdr:rowOff>
    </xdr:to>
    <xdr:pic>
      <xdr:nvPicPr>
        <xdr:cNvPr id="2" name="Picture 1" descr="Description: Description: UnivGate"/>
        <xdr:cNvPicPr>
          <a:picLocks noChangeAspect="1" noChangeArrowheads="1"/>
        </xdr:cNvPicPr>
      </xdr:nvPicPr>
      <xdr:blipFill>
        <a:blip xmlns:r="http://schemas.openxmlformats.org/officeDocument/2006/relationships" r:embed="rId1" cstate="print"/>
        <a:srcRect/>
        <a:stretch>
          <a:fillRect/>
        </a:stretch>
      </xdr:blipFill>
      <xdr:spPr bwMode="auto">
        <a:xfrm>
          <a:off x="8763000" y="40482"/>
          <a:ext cx="826293" cy="883442"/>
        </a:xfrm>
        <a:prstGeom prst="rect">
          <a:avLst/>
        </a:prstGeom>
        <a:noFill/>
      </xdr:spPr>
    </xdr:pic>
    <xdr:clientData/>
  </xdr:twoCellAnchor>
  <xdr:twoCellAnchor>
    <xdr:from>
      <xdr:col>0</xdr:col>
      <xdr:colOff>9524</xdr:colOff>
      <xdr:row>0</xdr:row>
      <xdr:rowOff>28575</xdr:rowOff>
    </xdr:from>
    <xdr:to>
      <xdr:col>1</xdr:col>
      <xdr:colOff>404811</xdr:colOff>
      <xdr:row>2</xdr:row>
      <xdr:rowOff>0</xdr:rowOff>
    </xdr:to>
    <xdr:pic>
      <xdr:nvPicPr>
        <xdr:cNvPr id="3" name="Picture 1" descr="Description: Description: Univ_Logo"/>
        <xdr:cNvPicPr>
          <a:picLocks noChangeAspect="1" noChangeArrowheads="1"/>
        </xdr:cNvPicPr>
      </xdr:nvPicPr>
      <xdr:blipFill>
        <a:blip xmlns:r="http://schemas.openxmlformats.org/officeDocument/2006/relationships" r:embed="rId2" cstate="print"/>
        <a:srcRect/>
        <a:stretch>
          <a:fillRect/>
        </a:stretch>
      </xdr:blipFill>
      <xdr:spPr bwMode="auto">
        <a:xfrm>
          <a:off x="9524" y="28575"/>
          <a:ext cx="785812" cy="85725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R142"/>
  <sheetViews>
    <sheetView tabSelected="1" view="pageLayout" zoomScale="70" zoomScaleNormal="115" zoomScaleSheetLayoutView="80" zoomScalePageLayoutView="70" workbookViewId="0">
      <selection activeCell="A6" sqref="A6:XFD6"/>
    </sheetView>
  </sheetViews>
  <sheetFormatPr defaultRowHeight="15" x14ac:dyDescent="0.25"/>
  <cols>
    <col min="1" max="1" width="4.140625" customWidth="1"/>
    <col min="2" max="2" width="49.5703125" customWidth="1"/>
    <col min="3" max="3" width="9.5703125" customWidth="1"/>
    <col min="4" max="4" width="9.140625" customWidth="1"/>
    <col min="5" max="5" width="8.7109375" customWidth="1"/>
    <col min="6" max="6" width="9.5703125" customWidth="1"/>
    <col min="7" max="7" width="9.28515625" customWidth="1"/>
    <col min="8" max="8" width="9" customWidth="1"/>
    <col min="9" max="9" width="7.7109375" customWidth="1"/>
    <col min="10" max="10" width="9.140625" customWidth="1"/>
    <col min="11" max="11" width="9.28515625" bestFit="1" customWidth="1"/>
    <col min="13" max="13" width="9.85546875" customWidth="1"/>
  </cols>
  <sheetData>
    <row r="1" spans="1:18" ht="68.25" customHeight="1" x14ac:dyDescent="0.3">
      <c r="A1" s="74" t="s">
        <v>35</v>
      </c>
      <c r="B1" s="74"/>
      <c r="C1" s="74"/>
      <c r="D1" s="74"/>
      <c r="E1" s="74"/>
      <c r="F1" s="74"/>
      <c r="G1" s="74"/>
      <c r="H1" s="74"/>
      <c r="I1" s="74"/>
      <c r="J1" s="74"/>
      <c r="K1" s="74"/>
      <c r="L1" s="74"/>
      <c r="M1" s="74"/>
    </row>
    <row r="2" spans="1:18" ht="21" customHeight="1" x14ac:dyDescent="0.25">
      <c r="A2" s="75" t="s">
        <v>0</v>
      </c>
      <c r="B2" s="75"/>
      <c r="C2" s="75"/>
      <c r="D2" s="75"/>
      <c r="E2" s="75"/>
      <c r="F2" s="75"/>
      <c r="G2" s="75"/>
      <c r="H2" s="75"/>
      <c r="I2" s="75"/>
      <c r="J2" s="75"/>
      <c r="K2" s="75"/>
      <c r="L2" s="75"/>
      <c r="M2" s="75"/>
    </row>
    <row r="3" spans="1:18" ht="23.1" customHeight="1" x14ac:dyDescent="0.25">
      <c r="A3" s="76" t="s">
        <v>36</v>
      </c>
      <c r="B3" s="76"/>
      <c r="C3" s="76" t="s">
        <v>48</v>
      </c>
      <c r="D3" s="76"/>
      <c r="E3" s="76"/>
      <c r="F3" s="76"/>
      <c r="G3" s="76"/>
      <c r="H3" s="76"/>
      <c r="I3" s="76"/>
      <c r="J3" s="76"/>
      <c r="K3" s="76"/>
      <c r="L3" s="76"/>
      <c r="M3" s="76"/>
    </row>
    <row r="4" spans="1:18" ht="23.1" customHeight="1" x14ac:dyDescent="0.25">
      <c r="A4" s="70" t="s">
        <v>37</v>
      </c>
      <c r="B4" s="70"/>
      <c r="C4" s="70"/>
      <c r="D4" s="70"/>
      <c r="E4" s="70"/>
      <c r="F4" s="70"/>
      <c r="G4" s="70"/>
      <c r="H4" s="70"/>
      <c r="I4" s="70"/>
      <c r="J4" s="70"/>
      <c r="K4" s="70"/>
      <c r="L4" s="70"/>
      <c r="M4" s="70"/>
    </row>
    <row r="5" spans="1:18" ht="23.1" customHeight="1" thickBot="1" x14ac:dyDescent="0.3">
      <c r="A5" s="70" t="s">
        <v>40</v>
      </c>
      <c r="B5" s="70"/>
      <c r="C5" s="70"/>
      <c r="D5" s="70"/>
      <c r="E5" s="70"/>
      <c r="F5" s="70"/>
      <c r="G5" s="70"/>
      <c r="H5" s="70"/>
      <c r="I5" s="70"/>
      <c r="J5" s="70"/>
      <c r="K5" s="70"/>
      <c r="L5" s="70"/>
      <c r="M5" s="70"/>
    </row>
    <row r="6" spans="1:18" ht="45" customHeight="1" thickBot="1" x14ac:dyDescent="0.3">
      <c r="A6" s="21" t="s">
        <v>1</v>
      </c>
      <c r="B6" s="24" t="s">
        <v>2</v>
      </c>
      <c r="C6" s="22" t="s">
        <v>4</v>
      </c>
      <c r="D6" s="71" t="s">
        <v>47</v>
      </c>
      <c r="E6" s="72"/>
      <c r="F6" s="72"/>
      <c r="G6" s="72"/>
      <c r="H6" s="73"/>
      <c r="I6" s="23" t="s">
        <v>62</v>
      </c>
      <c r="J6" s="22" t="s">
        <v>63</v>
      </c>
      <c r="K6" s="22" t="s">
        <v>45</v>
      </c>
      <c r="L6" s="22" t="s">
        <v>46</v>
      </c>
      <c r="M6" s="22" t="s">
        <v>8</v>
      </c>
    </row>
    <row r="7" spans="1:18" ht="28.5" customHeight="1" x14ac:dyDescent="0.25">
      <c r="A7" s="64">
        <v>1</v>
      </c>
      <c r="B7" s="67" t="s">
        <v>43</v>
      </c>
      <c r="C7" s="34">
        <v>44095</v>
      </c>
      <c r="D7" s="27">
        <v>21</v>
      </c>
      <c r="E7" s="27">
        <v>22</v>
      </c>
      <c r="F7" s="27">
        <v>0</v>
      </c>
      <c r="G7" s="27">
        <v>0</v>
      </c>
      <c r="H7" s="28">
        <v>0</v>
      </c>
      <c r="I7" s="29">
        <v>2</v>
      </c>
      <c r="J7" s="38">
        <v>4</v>
      </c>
      <c r="K7" s="39">
        <v>400</v>
      </c>
      <c r="L7" s="39" t="str">
        <f>J7&amp;"×"&amp;K7&amp;"="</f>
        <v>4×400=</v>
      </c>
      <c r="M7" s="39">
        <f>J7*K7</f>
        <v>1600</v>
      </c>
      <c r="R7" s="1"/>
    </row>
    <row r="8" spans="1:18" ht="21.95" customHeight="1" x14ac:dyDescent="0.25">
      <c r="A8" s="65"/>
      <c r="B8" s="68"/>
      <c r="C8" s="35">
        <v>44106</v>
      </c>
      <c r="D8" s="27">
        <v>0</v>
      </c>
      <c r="E8" s="27">
        <v>0</v>
      </c>
      <c r="F8" s="27">
        <v>0</v>
      </c>
      <c r="G8" s="27">
        <v>0</v>
      </c>
      <c r="H8" s="28">
        <v>0</v>
      </c>
      <c r="I8" s="28">
        <v>0</v>
      </c>
      <c r="J8" s="40">
        <v>0</v>
      </c>
      <c r="K8" s="41">
        <v>400</v>
      </c>
      <c r="L8" s="41" t="str">
        <f t="shared" ref="L8:L10" si="0">J8&amp;"×"&amp;K8&amp;"="</f>
        <v>0×400=</v>
      </c>
      <c r="M8" s="41">
        <f t="shared" ref="M8:M10" si="1">J8*K8</f>
        <v>0</v>
      </c>
    </row>
    <row r="9" spans="1:18" ht="21.95" customHeight="1" x14ac:dyDescent="0.25">
      <c r="A9" s="65"/>
      <c r="B9" s="68"/>
      <c r="C9" s="35">
        <v>44136</v>
      </c>
      <c r="D9" s="27">
        <v>2</v>
      </c>
      <c r="E9" s="27">
        <v>9</v>
      </c>
      <c r="F9" s="27">
        <v>16</v>
      </c>
      <c r="G9" s="27">
        <v>23</v>
      </c>
      <c r="H9" s="28">
        <v>30</v>
      </c>
      <c r="I9" s="28">
        <v>5</v>
      </c>
      <c r="J9" s="40">
        <v>10</v>
      </c>
      <c r="K9" s="41">
        <v>400</v>
      </c>
      <c r="L9" s="41" t="str">
        <f t="shared" si="0"/>
        <v>10×400=</v>
      </c>
      <c r="M9" s="41">
        <f t="shared" si="1"/>
        <v>4000</v>
      </c>
    </row>
    <row r="10" spans="1:18" ht="21.95" customHeight="1" x14ac:dyDescent="0.25">
      <c r="A10" s="65"/>
      <c r="B10" s="68"/>
      <c r="C10" s="35">
        <v>44166</v>
      </c>
      <c r="D10" s="27">
        <v>7</v>
      </c>
      <c r="E10" s="27">
        <v>14</v>
      </c>
      <c r="F10" s="27">
        <v>21</v>
      </c>
      <c r="G10" s="27">
        <v>28</v>
      </c>
      <c r="H10" s="28">
        <v>0</v>
      </c>
      <c r="I10" s="28">
        <v>4</v>
      </c>
      <c r="J10" s="40">
        <v>8</v>
      </c>
      <c r="K10" s="41">
        <v>400</v>
      </c>
      <c r="L10" s="41" t="str">
        <f t="shared" si="0"/>
        <v>8×400=</v>
      </c>
      <c r="M10" s="41">
        <f t="shared" si="1"/>
        <v>3200</v>
      </c>
    </row>
    <row r="11" spans="1:18" ht="21.95" customHeight="1" thickBot="1" x14ac:dyDescent="0.3">
      <c r="A11" s="66"/>
      <c r="B11" s="69"/>
      <c r="C11" s="36">
        <v>44197</v>
      </c>
      <c r="D11" s="30">
        <v>4</v>
      </c>
      <c r="E11" s="30">
        <v>11</v>
      </c>
      <c r="F11" s="30">
        <v>18</v>
      </c>
      <c r="G11" s="30">
        <v>0</v>
      </c>
      <c r="H11" s="31">
        <v>0</v>
      </c>
      <c r="I11" s="31">
        <v>3</v>
      </c>
      <c r="J11" s="42">
        <v>6</v>
      </c>
      <c r="K11" s="43">
        <v>400</v>
      </c>
      <c r="L11" s="43" t="str">
        <f t="shared" ref="L11" si="2">J11&amp;"×"&amp;K11&amp;"="</f>
        <v>6×400=</v>
      </c>
      <c r="M11" s="43">
        <f t="shared" ref="M11" si="3">J11*K11</f>
        <v>2400</v>
      </c>
    </row>
    <row r="12" spans="1:18" ht="21.95" customHeight="1" x14ac:dyDescent="0.25">
      <c r="A12" s="64">
        <v>2</v>
      </c>
      <c r="B12" s="67" t="s">
        <v>42</v>
      </c>
      <c r="C12" s="37">
        <v>44095</v>
      </c>
      <c r="D12" s="32" t="s">
        <v>51</v>
      </c>
      <c r="E12" s="32" t="s">
        <v>52</v>
      </c>
      <c r="F12" s="32">
        <v>0</v>
      </c>
      <c r="G12" s="32">
        <v>0</v>
      </c>
      <c r="H12" s="33">
        <v>0</v>
      </c>
      <c r="I12" s="33">
        <v>4</v>
      </c>
      <c r="J12" s="44">
        <v>4</v>
      </c>
      <c r="K12" s="45">
        <v>1500</v>
      </c>
      <c r="L12" s="46" t="str">
        <f>J12&amp;"×"&amp;K12&amp;"="</f>
        <v>4×1500=</v>
      </c>
      <c r="M12" s="46">
        <f>J12*K12</f>
        <v>6000</v>
      </c>
      <c r="R12" s="1"/>
    </row>
    <row r="13" spans="1:18" ht="21.95" customHeight="1" x14ac:dyDescent="0.25">
      <c r="A13" s="65"/>
      <c r="B13" s="68"/>
      <c r="C13" s="35">
        <v>44106</v>
      </c>
      <c r="D13" s="27">
        <v>0</v>
      </c>
      <c r="E13" s="27">
        <v>0</v>
      </c>
      <c r="F13" s="27">
        <v>0</v>
      </c>
      <c r="G13" s="27">
        <v>0</v>
      </c>
      <c r="H13" s="28">
        <v>0</v>
      </c>
      <c r="I13" s="28">
        <v>0</v>
      </c>
      <c r="J13" s="40">
        <v>0</v>
      </c>
      <c r="K13" s="41">
        <v>1500</v>
      </c>
      <c r="L13" s="41" t="str">
        <f>J13&amp;"×"&amp;K13&amp;"="</f>
        <v>0×1500=</v>
      </c>
      <c r="M13" s="41">
        <f t="shared" ref="M13:M16" si="4">J13*K13</f>
        <v>0</v>
      </c>
    </row>
    <row r="14" spans="1:18" ht="21.95" customHeight="1" x14ac:dyDescent="0.25">
      <c r="A14" s="65"/>
      <c r="B14" s="68"/>
      <c r="C14" s="35">
        <v>44136</v>
      </c>
      <c r="D14" s="27" t="s">
        <v>55</v>
      </c>
      <c r="E14" s="27" t="s">
        <v>56</v>
      </c>
      <c r="F14" s="27" t="s">
        <v>53</v>
      </c>
      <c r="G14" s="27" t="s">
        <v>54</v>
      </c>
      <c r="H14" s="28">
        <v>30</v>
      </c>
      <c r="I14" s="28">
        <v>9</v>
      </c>
      <c r="J14" s="40">
        <v>9</v>
      </c>
      <c r="K14" s="41">
        <v>1500</v>
      </c>
      <c r="L14" s="41" t="str">
        <f t="shared" ref="L14:L16" si="5">J14&amp;"×"&amp;K14&amp;"="</f>
        <v>9×1500=</v>
      </c>
      <c r="M14" s="41">
        <f t="shared" si="4"/>
        <v>13500</v>
      </c>
    </row>
    <row r="15" spans="1:18" ht="21.95" customHeight="1" x14ac:dyDescent="0.25">
      <c r="A15" s="65"/>
      <c r="B15" s="68"/>
      <c r="C15" s="35">
        <v>44166</v>
      </c>
      <c r="D15" s="27" t="s">
        <v>57</v>
      </c>
      <c r="E15" s="27" t="s">
        <v>58</v>
      </c>
      <c r="F15" s="27" t="s">
        <v>51</v>
      </c>
      <c r="G15" s="27" t="s">
        <v>52</v>
      </c>
      <c r="H15" s="28">
        <v>0</v>
      </c>
      <c r="I15" s="28">
        <v>8</v>
      </c>
      <c r="J15" s="40">
        <v>8</v>
      </c>
      <c r="K15" s="39">
        <v>1500</v>
      </c>
      <c r="L15" s="41" t="str">
        <f t="shared" si="5"/>
        <v>8×1500=</v>
      </c>
      <c r="M15" s="41">
        <f t="shared" si="4"/>
        <v>12000</v>
      </c>
    </row>
    <row r="16" spans="1:18" ht="21.95" customHeight="1" thickBot="1" x14ac:dyDescent="0.3">
      <c r="A16" s="66"/>
      <c r="B16" s="69"/>
      <c r="C16" s="36">
        <v>44197</v>
      </c>
      <c r="D16" s="30" t="s">
        <v>92</v>
      </c>
      <c r="E16" s="30" t="s">
        <v>60</v>
      </c>
      <c r="F16" s="30" t="s">
        <v>61</v>
      </c>
      <c r="G16" s="30">
        <v>0</v>
      </c>
      <c r="H16" s="31">
        <v>0</v>
      </c>
      <c r="I16" s="31">
        <v>6</v>
      </c>
      <c r="J16" s="42">
        <v>6</v>
      </c>
      <c r="K16" s="39">
        <v>1500</v>
      </c>
      <c r="L16" s="43" t="str">
        <f t="shared" si="5"/>
        <v>6×1500=</v>
      </c>
      <c r="M16" s="43">
        <f t="shared" si="4"/>
        <v>9000</v>
      </c>
    </row>
    <row r="17" spans="1:18" ht="21.95" customHeight="1" x14ac:dyDescent="0.25">
      <c r="A17" s="64">
        <v>3</v>
      </c>
      <c r="B17" s="67" t="s">
        <v>44</v>
      </c>
      <c r="C17" s="37">
        <v>44095</v>
      </c>
      <c r="D17" s="32" t="s">
        <v>51</v>
      </c>
      <c r="E17" s="32" t="s">
        <v>52</v>
      </c>
      <c r="F17" s="32">
        <v>0</v>
      </c>
      <c r="G17" s="32">
        <v>0</v>
      </c>
      <c r="H17" s="33">
        <v>0</v>
      </c>
      <c r="I17" s="33">
        <v>4</v>
      </c>
      <c r="J17" s="44">
        <v>4</v>
      </c>
      <c r="K17" s="45">
        <v>1500</v>
      </c>
      <c r="L17" s="46" t="str">
        <f>J17&amp;"×"&amp;K17&amp;"="</f>
        <v>4×1500=</v>
      </c>
      <c r="M17" s="46">
        <f>J17*K17</f>
        <v>6000</v>
      </c>
      <c r="R17" s="1"/>
    </row>
    <row r="18" spans="1:18" ht="21.95" customHeight="1" x14ac:dyDescent="0.25">
      <c r="A18" s="65"/>
      <c r="B18" s="68"/>
      <c r="C18" s="35">
        <v>44106</v>
      </c>
      <c r="D18" s="27">
        <v>0</v>
      </c>
      <c r="E18" s="27">
        <v>0</v>
      </c>
      <c r="F18" s="27">
        <v>0</v>
      </c>
      <c r="G18" s="27">
        <v>0</v>
      </c>
      <c r="H18" s="28">
        <v>0</v>
      </c>
      <c r="I18" s="28">
        <v>0</v>
      </c>
      <c r="J18" s="40">
        <v>0</v>
      </c>
      <c r="K18" s="41">
        <v>1500</v>
      </c>
      <c r="L18" s="41" t="str">
        <f t="shared" ref="L18:L21" si="6">J18&amp;"×"&amp;K18&amp;"="</f>
        <v>0×1500=</v>
      </c>
      <c r="M18" s="41">
        <f t="shared" ref="M18:M21" si="7">J18*K18</f>
        <v>0</v>
      </c>
    </row>
    <row r="19" spans="1:18" ht="21.95" customHeight="1" x14ac:dyDescent="0.25">
      <c r="A19" s="65"/>
      <c r="B19" s="68"/>
      <c r="C19" s="35">
        <v>44136</v>
      </c>
      <c r="D19" s="27" t="s">
        <v>55</v>
      </c>
      <c r="E19" s="27" t="s">
        <v>56</v>
      </c>
      <c r="F19" s="27" t="s">
        <v>53</v>
      </c>
      <c r="G19" s="27" t="s">
        <v>54</v>
      </c>
      <c r="H19" s="28">
        <v>30</v>
      </c>
      <c r="I19" s="28">
        <v>9</v>
      </c>
      <c r="J19" s="40">
        <v>9</v>
      </c>
      <c r="K19" s="41">
        <v>1500</v>
      </c>
      <c r="L19" s="41" t="str">
        <f t="shared" si="6"/>
        <v>9×1500=</v>
      </c>
      <c r="M19" s="41">
        <f t="shared" si="7"/>
        <v>13500</v>
      </c>
    </row>
    <row r="20" spans="1:18" ht="21.95" customHeight="1" x14ac:dyDescent="0.25">
      <c r="A20" s="65"/>
      <c r="B20" s="68"/>
      <c r="C20" s="35">
        <v>44166</v>
      </c>
      <c r="D20" s="27" t="s">
        <v>57</v>
      </c>
      <c r="E20" s="27" t="s">
        <v>58</v>
      </c>
      <c r="F20" s="27" t="s">
        <v>51</v>
      </c>
      <c r="G20" s="27" t="s">
        <v>52</v>
      </c>
      <c r="H20" s="28">
        <v>0</v>
      </c>
      <c r="I20" s="28">
        <v>8</v>
      </c>
      <c r="J20" s="40">
        <v>8</v>
      </c>
      <c r="K20" s="39">
        <v>1500</v>
      </c>
      <c r="L20" s="41" t="str">
        <f t="shared" si="6"/>
        <v>8×1500=</v>
      </c>
      <c r="M20" s="41">
        <f t="shared" si="7"/>
        <v>12000</v>
      </c>
    </row>
    <row r="21" spans="1:18" ht="21.95" customHeight="1" thickBot="1" x14ac:dyDescent="0.3">
      <c r="A21" s="66"/>
      <c r="B21" s="69"/>
      <c r="C21" s="36">
        <v>44197</v>
      </c>
      <c r="D21" s="30" t="s">
        <v>59</v>
      </c>
      <c r="E21" s="30" t="s">
        <v>60</v>
      </c>
      <c r="F21" s="30" t="s">
        <v>61</v>
      </c>
      <c r="G21" s="30">
        <v>0</v>
      </c>
      <c r="H21" s="31">
        <v>0</v>
      </c>
      <c r="I21" s="31">
        <v>6</v>
      </c>
      <c r="J21" s="42">
        <v>6</v>
      </c>
      <c r="K21" s="43">
        <v>1500</v>
      </c>
      <c r="L21" s="43" t="str">
        <f t="shared" si="6"/>
        <v>6×1500=</v>
      </c>
      <c r="M21" s="43">
        <f t="shared" si="7"/>
        <v>9000</v>
      </c>
    </row>
    <row r="22" spans="1:18" ht="21.95" customHeight="1" x14ac:dyDescent="0.25">
      <c r="A22" s="47" t="s">
        <v>16</v>
      </c>
      <c r="B22" s="47"/>
      <c r="C22" s="47"/>
      <c r="D22" s="47"/>
      <c r="E22" s="47"/>
      <c r="F22" s="47"/>
      <c r="G22" s="47"/>
      <c r="H22" s="47"/>
      <c r="I22" s="47"/>
      <c r="J22" s="47"/>
      <c r="K22" s="47"/>
      <c r="L22" s="48"/>
      <c r="M22" s="26">
        <f>SUM(M7:M21)</f>
        <v>92200</v>
      </c>
    </row>
    <row r="23" spans="1:18" ht="21.95" customHeight="1" x14ac:dyDescent="0.25">
      <c r="A23" s="47" t="s">
        <v>41</v>
      </c>
      <c r="B23" s="47"/>
      <c r="C23" s="47"/>
      <c r="D23" s="47"/>
      <c r="E23" s="47"/>
      <c r="F23" s="47"/>
      <c r="G23" s="47"/>
      <c r="H23" s="47"/>
      <c r="I23" s="47"/>
      <c r="J23" s="47"/>
      <c r="K23" s="47"/>
      <c r="L23" s="48"/>
      <c r="M23" s="26">
        <f>M22*0.05</f>
        <v>4610</v>
      </c>
    </row>
    <row r="24" spans="1:18" ht="21.95" customHeight="1" x14ac:dyDescent="0.25">
      <c r="A24" s="47" t="s">
        <v>49</v>
      </c>
      <c r="B24" s="47"/>
      <c r="C24" s="47"/>
      <c r="D24" s="47"/>
      <c r="E24" s="47"/>
      <c r="F24" s="47"/>
      <c r="G24" s="47"/>
      <c r="H24" s="47"/>
      <c r="I24" s="47"/>
      <c r="J24" s="47"/>
      <c r="K24" s="47"/>
      <c r="L24" s="48"/>
      <c r="M24" s="26">
        <f>M22-M23</f>
        <v>87590</v>
      </c>
    </row>
    <row r="25" spans="1:18" ht="15.75" x14ac:dyDescent="0.25">
      <c r="A25" s="11"/>
      <c r="B25" s="11"/>
      <c r="C25" s="11"/>
      <c r="D25" s="11"/>
      <c r="E25" s="11"/>
      <c r="F25" s="11"/>
      <c r="G25" s="11"/>
      <c r="H25" s="11"/>
      <c r="I25" s="11"/>
      <c r="J25" s="11"/>
      <c r="K25" s="11"/>
      <c r="L25" s="11"/>
      <c r="M25" s="11"/>
    </row>
    <row r="28" spans="1:18" x14ac:dyDescent="0.25">
      <c r="B28" s="25"/>
    </row>
    <row r="29" spans="1:18" x14ac:dyDescent="0.25">
      <c r="B29" s="25"/>
    </row>
    <row r="30" spans="1:18" x14ac:dyDescent="0.25">
      <c r="B30" s="25"/>
    </row>
    <row r="43" spans="1:13" ht="15.75" thickBot="1" x14ac:dyDescent="0.3"/>
    <row r="44" spans="1:13" ht="14.25" customHeight="1" x14ac:dyDescent="0.25">
      <c r="A44" s="49" t="s">
        <v>93</v>
      </c>
      <c r="B44" s="50"/>
      <c r="C44" s="50"/>
      <c r="D44" s="50"/>
      <c r="E44" s="50"/>
      <c r="F44" s="50"/>
      <c r="G44" s="50"/>
      <c r="H44" s="50"/>
      <c r="I44" s="50"/>
      <c r="J44" s="50"/>
      <c r="K44" s="53" t="s">
        <v>24</v>
      </c>
      <c r="L44" s="50"/>
      <c r="M44" s="54"/>
    </row>
    <row r="45" spans="1:13" ht="14.25" hidden="1" customHeight="1" x14ac:dyDescent="0.25">
      <c r="A45" s="51"/>
      <c r="B45" s="52"/>
      <c r="C45" s="52"/>
      <c r="D45" s="52"/>
      <c r="E45" s="52"/>
      <c r="F45" s="52"/>
      <c r="G45" s="52"/>
      <c r="H45" s="52"/>
      <c r="I45" s="52"/>
      <c r="J45" s="52"/>
      <c r="K45" s="55"/>
      <c r="L45" s="52"/>
      <c r="M45" s="56"/>
    </row>
    <row r="46" spans="1:13" ht="21.75" customHeight="1" x14ac:dyDescent="0.25">
      <c r="A46" s="51"/>
      <c r="B46" s="52"/>
      <c r="C46" s="52"/>
      <c r="D46" s="52"/>
      <c r="E46" s="52"/>
      <c r="F46" s="52"/>
      <c r="G46" s="52"/>
      <c r="H46" s="52"/>
      <c r="I46" s="52"/>
      <c r="J46" s="52"/>
      <c r="K46" s="55"/>
      <c r="L46" s="52"/>
      <c r="M46" s="56"/>
    </row>
    <row r="47" spans="1:13" ht="15" customHeight="1" x14ac:dyDescent="0.25">
      <c r="A47" s="51"/>
      <c r="B47" s="52"/>
      <c r="C47" s="52"/>
      <c r="D47" s="52"/>
      <c r="E47" s="52"/>
      <c r="F47" s="52"/>
      <c r="G47" s="52"/>
      <c r="H47" s="52"/>
      <c r="I47" s="52"/>
      <c r="J47" s="52"/>
      <c r="K47" s="55"/>
      <c r="L47" s="52"/>
      <c r="M47" s="56"/>
    </row>
    <row r="48" spans="1:13" ht="15" customHeight="1" x14ac:dyDescent="0.25">
      <c r="A48" s="51"/>
      <c r="B48" s="52"/>
      <c r="C48" s="52"/>
      <c r="D48" s="52"/>
      <c r="E48" s="52"/>
      <c r="F48" s="52"/>
      <c r="G48" s="52"/>
      <c r="H48" s="52"/>
      <c r="I48" s="52"/>
      <c r="J48" s="52"/>
      <c r="K48" s="55"/>
      <c r="L48" s="52"/>
      <c r="M48" s="56"/>
    </row>
    <row r="49" spans="1:18" ht="15" customHeight="1" x14ac:dyDescent="0.25">
      <c r="A49" s="51"/>
      <c r="B49" s="52"/>
      <c r="C49" s="52"/>
      <c r="D49" s="52"/>
      <c r="E49" s="52"/>
      <c r="F49" s="52"/>
      <c r="G49" s="52"/>
      <c r="H49" s="52"/>
      <c r="I49" s="52"/>
      <c r="J49" s="52"/>
      <c r="K49" s="55"/>
      <c r="L49" s="52"/>
      <c r="M49" s="56"/>
    </row>
    <row r="50" spans="1:18" ht="15" customHeight="1" x14ac:dyDescent="0.25">
      <c r="A50" s="51"/>
      <c r="B50" s="52"/>
      <c r="C50" s="52"/>
      <c r="D50" s="52"/>
      <c r="E50" s="52"/>
      <c r="F50" s="52"/>
      <c r="G50" s="52"/>
      <c r="H50" s="52"/>
      <c r="I50" s="52"/>
      <c r="J50" s="52"/>
      <c r="K50" s="55"/>
      <c r="L50" s="52"/>
      <c r="M50" s="56"/>
    </row>
    <row r="51" spans="1:18" ht="15.75" x14ac:dyDescent="0.25">
      <c r="A51" s="60" t="s">
        <v>50</v>
      </c>
      <c r="B51" s="61"/>
      <c r="C51" s="61"/>
      <c r="D51" s="61"/>
      <c r="E51" s="61"/>
      <c r="F51" s="61"/>
      <c r="G51" s="61"/>
      <c r="H51" s="61"/>
      <c r="I51" s="61"/>
      <c r="J51" s="61"/>
      <c r="K51" s="55"/>
      <c r="L51" s="52"/>
      <c r="M51" s="56"/>
    </row>
    <row r="52" spans="1:18" ht="15.75" x14ac:dyDescent="0.25">
      <c r="A52" s="60" t="s">
        <v>38</v>
      </c>
      <c r="B52" s="61"/>
      <c r="C52" s="61"/>
      <c r="D52" s="61"/>
      <c r="E52" s="61"/>
      <c r="F52" s="61"/>
      <c r="G52" s="61"/>
      <c r="H52" s="61"/>
      <c r="I52" s="61"/>
      <c r="J52" s="61"/>
      <c r="K52" s="55"/>
      <c r="L52" s="52"/>
      <c r="M52" s="56"/>
    </row>
    <row r="53" spans="1:18" ht="14.25" customHeight="1" thickBot="1" x14ac:dyDescent="0.3">
      <c r="A53" s="62" t="s">
        <v>39</v>
      </c>
      <c r="B53" s="63"/>
      <c r="C53" s="63"/>
      <c r="D53" s="63"/>
      <c r="E53" s="63"/>
      <c r="F53" s="63"/>
      <c r="G53" s="63"/>
      <c r="H53" s="63"/>
      <c r="I53" s="63"/>
      <c r="J53" s="63"/>
      <c r="K53" s="57"/>
      <c r="L53" s="58"/>
      <c r="M53" s="59"/>
    </row>
    <row r="54" spans="1:18" ht="68.25" customHeight="1" x14ac:dyDescent="0.3">
      <c r="A54" s="74" t="s">
        <v>35</v>
      </c>
      <c r="B54" s="74"/>
      <c r="C54" s="74"/>
      <c r="D54" s="74"/>
      <c r="E54" s="74"/>
      <c r="F54" s="74"/>
      <c r="G54" s="74"/>
      <c r="H54" s="74"/>
      <c r="I54" s="74"/>
      <c r="J54" s="74"/>
      <c r="K54" s="74"/>
      <c r="L54" s="74"/>
      <c r="M54" s="74"/>
    </row>
    <row r="55" spans="1:18" ht="21" customHeight="1" x14ac:dyDescent="0.25">
      <c r="A55" s="75" t="s">
        <v>0</v>
      </c>
      <c r="B55" s="75"/>
      <c r="C55" s="75"/>
      <c r="D55" s="75"/>
      <c r="E55" s="75"/>
      <c r="F55" s="75"/>
      <c r="G55" s="75"/>
      <c r="H55" s="75"/>
      <c r="I55" s="75"/>
      <c r="J55" s="75"/>
      <c r="K55" s="75"/>
      <c r="L55" s="75"/>
      <c r="M55" s="75"/>
    </row>
    <row r="56" spans="1:18" ht="23.1" customHeight="1" x14ac:dyDescent="0.25">
      <c r="A56" s="76" t="s">
        <v>65</v>
      </c>
      <c r="B56" s="76"/>
      <c r="C56" s="76" t="s">
        <v>66</v>
      </c>
      <c r="D56" s="76"/>
      <c r="E56" s="76"/>
      <c r="F56" s="76"/>
      <c r="G56" s="76"/>
      <c r="H56" s="76"/>
      <c r="I56" s="76"/>
      <c r="J56" s="76"/>
      <c r="K56" s="76"/>
      <c r="L56" s="76"/>
      <c r="M56" s="76"/>
    </row>
    <row r="57" spans="1:18" ht="23.1" customHeight="1" x14ac:dyDescent="0.25">
      <c r="A57" s="70" t="s">
        <v>37</v>
      </c>
      <c r="B57" s="70"/>
      <c r="C57" s="70"/>
      <c r="D57" s="70"/>
      <c r="E57" s="70"/>
      <c r="F57" s="70"/>
      <c r="G57" s="70"/>
      <c r="H57" s="70"/>
      <c r="I57" s="70"/>
      <c r="J57" s="70"/>
      <c r="K57" s="70"/>
      <c r="L57" s="70"/>
      <c r="M57" s="70"/>
    </row>
    <row r="58" spans="1:18" ht="23.1" customHeight="1" thickBot="1" x14ac:dyDescent="0.3">
      <c r="A58" s="70" t="s">
        <v>40</v>
      </c>
      <c r="B58" s="70"/>
      <c r="C58" s="70"/>
      <c r="D58" s="70"/>
      <c r="E58" s="70"/>
      <c r="F58" s="70"/>
      <c r="G58" s="70"/>
      <c r="H58" s="70"/>
      <c r="I58" s="70"/>
      <c r="J58" s="70"/>
      <c r="K58" s="70"/>
      <c r="L58" s="70"/>
      <c r="M58" s="70"/>
    </row>
    <row r="59" spans="1:18" ht="67.5" customHeight="1" thickBot="1" x14ac:dyDescent="0.3">
      <c r="A59" s="21" t="s">
        <v>1</v>
      </c>
      <c r="B59" s="24" t="s">
        <v>2</v>
      </c>
      <c r="C59" s="22" t="s">
        <v>4</v>
      </c>
      <c r="D59" s="71" t="s">
        <v>47</v>
      </c>
      <c r="E59" s="72"/>
      <c r="F59" s="72"/>
      <c r="G59" s="72"/>
      <c r="H59" s="73"/>
      <c r="I59" s="23" t="s">
        <v>62</v>
      </c>
      <c r="J59" s="22" t="s">
        <v>63</v>
      </c>
      <c r="K59" s="22" t="s">
        <v>45</v>
      </c>
      <c r="L59" s="22" t="s">
        <v>46</v>
      </c>
      <c r="M59" s="22" t="s">
        <v>8</v>
      </c>
    </row>
    <row r="60" spans="1:18" ht="28.5" customHeight="1" x14ac:dyDescent="0.25">
      <c r="A60" s="64">
        <v>1</v>
      </c>
      <c r="B60" s="67" t="s">
        <v>72</v>
      </c>
      <c r="C60" s="34">
        <v>44095</v>
      </c>
      <c r="D60" s="27" t="s">
        <v>70</v>
      </c>
      <c r="E60" s="27" t="s">
        <v>71</v>
      </c>
      <c r="F60" s="27">
        <v>0</v>
      </c>
      <c r="G60" s="27">
        <v>0</v>
      </c>
      <c r="H60" s="28">
        <v>0</v>
      </c>
      <c r="I60" s="29">
        <v>4</v>
      </c>
      <c r="J60" s="38">
        <v>4</v>
      </c>
      <c r="K60" s="39">
        <v>1200</v>
      </c>
      <c r="L60" s="39" t="str">
        <f>J60&amp;"×"&amp;K60&amp;"="</f>
        <v>4×1200=</v>
      </c>
      <c r="M60" s="39">
        <f>J60*K60</f>
        <v>4800</v>
      </c>
      <c r="R60" s="1"/>
    </row>
    <row r="61" spans="1:18" ht="21.95" customHeight="1" x14ac:dyDescent="0.25">
      <c r="A61" s="65"/>
      <c r="B61" s="68"/>
      <c r="C61" s="35">
        <v>44106</v>
      </c>
      <c r="D61" s="27">
        <v>0</v>
      </c>
      <c r="E61" s="27">
        <v>0</v>
      </c>
      <c r="F61" s="27">
        <v>0</v>
      </c>
      <c r="G61" s="27">
        <v>0</v>
      </c>
      <c r="H61" s="28">
        <v>0</v>
      </c>
      <c r="I61" s="28">
        <v>0</v>
      </c>
      <c r="J61" s="40">
        <v>0</v>
      </c>
      <c r="K61" s="41">
        <v>1200</v>
      </c>
      <c r="L61" s="41" t="str">
        <f t="shared" ref="L61:L64" si="8">J61&amp;"×"&amp;K61&amp;"="</f>
        <v>0×1200=</v>
      </c>
      <c r="M61" s="41">
        <f t="shared" ref="M61:M64" si="9">J61*K61</f>
        <v>0</v>
      </c>
    </row>
    <row r="62" spans="1:18" ht="21.95" customHeight="1" x14ac:dyDescent="0.25">
      <c r="A62" s="65"/>
      <c r="B62" s="68"/>
      <c r="C62" s="35">
        <v>44136</v>
      </c>
      <c r="D62" s="27" t="s">
        <v>74</v>
      </c>
      <c r="E62" s="27" t="s">
        <v>75</v>
      </c>
      <c r="F62" s="27" t="s">
        <v>53</v>
      </c>
      <c r="G62" s="27" t="s">
        <v>76</v>
      </c>
      <c r="H62" s="28">
        <v>30</v>
      </c>
      <c r="I62" s="28">
        <v>9</v>
      </c>
      <c r="J62" s="40">
        <v>9</v>
      </c>
      <c r="K62" s="41">
        <v>1200</v>
      </c>
      <c r="L62" s="41" t="str">
        <f t="shared" si="8"/>
        <v>9×1200=</v>
      </c>
      <c r="M62" s="41">
        <f t="shared" si="9"/>
        <v>10800</v>
      </c>
    </row>
    <row r="63" spans="1:18" ht="21.95" customHeight="1" x14ac:dyDescent="0.25">
      <c r="A63" s="65"/>
      <c r="B63" s="68"/>
      <c r="C63" s="35">
        <v>44166</v>
      </c>
      <c r="D63" s="27">
        <v>2</v>
      </c>
      <c r="E63" s="27" t="s">
        <v>77</v>
      </c>
      <c r="F63" s="27" t="s">
        <v>78</v>
      </c>
      <c r="G63" s="27" t="s">
        <v>70</v>
      </c>
      <c r="H63" s="28" t="s">
        <v>71</v>
      </c>
      <c r="I63" s="28">
        <v>9</v>
      </c>
      <c r="J63" s="40">
        <v>9</v>
      </c>
      <c r="K63" s="41">
        <v>1200</v>
      </c>
      <c r="L63" s="41" t="str">
        <f t="shared" si="8"/>
        <v>9×1200=</v>
      </c>
      <c r="M63" s="41">
        <f t="shared" si="9"/>
        <v>10800</v>
      </c>
    </row>
    <row r="64" spans="1:18" ht="27" customHeight="1" thickBot="1" x14ac:dyDescent="0.3">
      <c r="A64" s="66"/>
      <c r="B64" s="69"/>
      <c r="C64" s="36">
        <v>44197</v>
      </c>
      <c r="D64" s="30" t="s">
        <v>79</v>
      </c>
      <c r="E64" s="30" t="s">
        <v>80</v>
      </c>
      <c r="F64" s="30" t="s">
        <v>81</v>
      </c>
      <c r="G64" s="30">
        <v>0</v>
      </c>
      <c r="H64" s="31">
        <v>0</v>
      </c>
      <c r="I64" s="31">
        <v>6</v>
      </c>
      <c r="J64" s="42">
        <v>6</v>
      </c>
      <c r="K64" s="43">
        <v>1200</v>
      </c>
      <c r="L64" s="43" t="str">
        <f t="shared" si="8"/>
        <v>6×1200=</v>
      </c>
      <c r="M64" s="43">
        <f t="shared" si="9"/>
        <v>7200</v>
      </c>
    </row>
    <row r="65" spans="1:18" ht="21.95" customHeight="1" x14ac:dyDescent="0.25">
      <c r="A65" s="64">
        <v>2</v>
      </c>
      <c r="B65" s="67" t="s">
        <v>73</v>
      </c>
      <c r="C65" s="37">
        <v>44095</v>
      </c>
      <c r="D65" s="32" t="s">
        <v>82</v>
      </c>
      <c r="E65" s="32">
        <v>28</v>
      </c>
      <c r="F65" s="32">
        <v>0</v>
      </c>
      <c r="G65" s="32">
        <v>0</v>
      </c>
      <c r="H65" s="33">
        <v>0</v>
      </c>
      <c r="I65" s="33">
        <v>3</v>
      </c>
      <c r="J65" s="44">
        <v>3</v>
      </c>
      <c r="K65" s="45">
        <v>1200</v>
      </c>
      <c r="L65" s="46" t="str">
        <f>J65&amp;"×"&amp;K65&amp;"="</f>
        <v>3×1200=</v>
      </c>
      <c r="M65" s="46">
        <f>J65*K65</f>
        <v>3600</v>
      </c>
      <c r="R65" s="1"/>
    </row>
    <row r="66" spans="1:18" ht="21.95" customHeight="1" x14ac:dyDescent="0.25">
      <c r="A66" s="65"/>
      <c r="B66" s="68"/>
      <c r="C66" s="35">
        <v>44106</v>
      </c>
      <c r="D66" s="27">
        <v>0</v>
      </c>
      <c r="E66" s="27">
        <v>0</v>
      </c>
      <c r="F66" s="27">
        <v>0</v>
      </c>
      <c r="G66" s="27">
        <v>0</v>
      </c>
      <c r="H66" s="28">
        <v>0</v>
      </c>
      <c r="I66" s="28">
        <v>0</v>
      </c>
      <c r="J66" s="40">
        <v>0</v>
      </c>
      <c r="K66" s="41">
        <v>1200</v>
      </c>
      <c r="L66" s="41" t="str">
        <f>J66&amp;"×"&amp;K66&amp;"="</f>
        <v>0×1200=</v>
      </c>
      <c r="M66" s="41">
        <f t="shared" ref="M66:M69" si="10">J66*K66</f>
        <v>0</v>
      </c>
    </row>
    <row r="67" spans="1:18" ht="21.95" customHeight="1" x14ac:dyDescent="0.25">
      <c r="A67" s="65"/>
      <c r="B67" s="68"/>
      <c r="C67" s="35">
        <v>44136</v>
      </c>
      <c r="D67" s="27" t="s">
        <v>83</v>
      </c>
      <c r="E67" s="27" t="s">
        <v>84</v>
      </c>
      <c r="F67" s="27" t="s">
        <v>85</v>
      </c>
      <c r="G67" s="27">
        <v>24</v>
      </c>
      <c r="H67" s="28">
        <v>0</v>
      </c>
      <c r="I67" s="28">
        <v>7</v>
      </c>
      <c r="J67" s="40">
        <v>7</v>
      </c>
      <c r="K67" s="41">
        <v>1200</v>
      </c>
      <c r="L67" s="41" t="str">
        <f t="shared" ref="L67:L69" si="11">J67&amp;"×"&amp;K67&amp;"="</f>
        <v>7×1200=</v>
      </c>
      <c r="M67" s="41">
        <f t="shared" si="10"/>
        <v>8400</v>
      </c>
    </row>
    <row r="68" spans="1:18" ht="21.95" customHeight="1" x14ac:dyDescent="0.25">
      <c r="A68" s="65"/>
      <c r="B68" s="68"/>
      <c r="C68" s="35">
        <v>44166</v>
      </c>
      <c r="D68" s="27" t="s">
        <v>86</v>
      </c>
      <c r="E68" s="27" t="s">
        <v>87</v>
      </c>
      <c r="F68" s="27" t="s">
        <v>88</v>
      </c>
      <c r="G68" s="27">
        <v>22</v>
      </c>
      <c r="H68" s="28">
        <v>29</v>
      </c>
      <c r="I68" s="28">
        <v>9</v>
      </c>
      <c r="J68" s="40">
        <v>9</v>
      </c>
      <c r="K68" s="39">
        <v>1200</v>
      </c>
      <c r="L68" s="41" t="str">
        <f t="shared" si="11"/>
        <v>9×1200=</v>
      </c>
      <c r="M68" s="41">
        <f t="shared" si="10"/>
        <v>10800</v>
      </c>
    </row>
    <row r="69" spans="1:18" ht="21.95" customHeight="1" thickBot="1" x14ac:dyDescent="0.3">
      <c r="A69" s="66"/>
      <c r="B69" s="69"/>
      <c r="C69" s="36">
        <v>44197</v>
      </c>
      <c r="D69" s="30" t="s">
        <v>89</v>
      </c>
      <c r="E69" s="30" t="s">
        <v>90</v>
      </c>
      <c r="F69" s="30" t="s">
        <v>91</v>
      </c>
      <c r="G69" s="30">
        <v>0</v>
      </c>
      <c r="H69" s="31">
        <v>0</v>
      </c>
      <c r="I69" s="31">
        <v>6</v>
      </c>
      <c r="J69" s="42">
        <v>6</v>
      </c>
      <c r="K69" s="39">
        <v>1200</v>
      </c>
      <c r="L69" s="43" t="str">
        <f t="shared" si="11"/>
        <v>6×1200=</v>
      </c>
      <c r="M69" s="43">
        <f t="shared" si="10"/>
        <v>7200</v>
      </c>
    </row>
    <row r="70" spans="1:18" ht="21.95" customHeight="1" x14ac:dyDescent="0.25">
      <c r="A70" s="64">
        <v>4</v>
      </c>
      <c r="B70" s="67" t="s">
        <v>67</v>
      </c>
      <c r="C70" s="37">
        <v>44095</v>
      </c>
      <c r="D70" s="32" t="s">
        <v>51</v>
      </c>
      <c r="E70" s="32" t="s">
        <v>52</v>
      </c>
      <c r="F70" s="32">
        <v>0</v>
      </c>
      <c r="G70" s="32">
        <v>0</v>
      </c>
      <c r="H70" s="33">
        <v>0</v>
      </c>
      <c r="I70" s="33">
        <v>4</v>
      </c>
      <c r="J70" s="44">
        <v>4</v>
      </c>
      <c r="K70" s="45">
        <v>400</v>
      </c>
      <c r="L70" s="46" t="str">
        <f>J70&amp;"×"&amp;K70&amp;"="</f>
        <v>4×400=</v>
      </c>
      <c r="M70" s="46">
        <f>J70*K70</f>
        <v>1600</v>
      </c>
      <c r="R70" s="1"/>
    </row>
    <row r="71" spans="1:18" ht="21.95" customHeight="1" x14ac:dyDescent="0.25">
      <c r="A71" s="65"/>
      <c r="B71" s="68"/>
      <c r="C71" s="35">
        <v>44106</v>
      </c>
      <c r="D71" s="27">
        <v>0</v>
      </c>
      <c r="E71" s="27">
        <v>0</v>
      </c>
      <c r="F71" s="27">
        <v>0</v>
      </c>
      <c r="G71" s="27">
        <v>0</v>
      </c>
      <c r="H71" s="28">
        <v>0</v>
      </c>
      <c r="I71" s="28">
        <v>0</v>
      </c>
      <c r="J71" s="40">
        <v>0</v>
      </c>
      <c r="K71" s="41">
        <v>400</v>
      </c>
      <c r="L71" s="41" t="str">
        <f t="shared" ref="L71:L74" si="12">J71&amp;"×"&amp;K71&amp;"="</f>
        <v>0×400=</v>
      </c>
      <c r="M71" s="41">
        <f t="shared" ref="M71:M74" si="13">J71*K71</f>
        <v>0</v>
      </c>
    </row>
    <row r="72" spans="1:18" ht="21.95" customHeight="1" x14ac:dyDescent="0.25">
      <c r="A72" s="65"/>
      <c r="B72" s="68"/>
      <c r="C72" s="35">
        <v>44136</v>
      </c>
      <c r="D72" s="27" t="s">
        <v>55</v>
      </c>
      <c r="E72" s="27" t="s">
        <v>56</v>
      </c>
      <c r="F72" s="27" t="s">
        <v>53</v>
      </c>
      <c r="G72" s="27" t="s">
        <v>54</v>
      </c>
      <c r="H72" s="28">
        <v>30</v>
      </c>
      <c r="I72" s="28">
        <v>9</v>
      </c>
      <c r="J72" s="40">
        <v>9</v>
      </c>
      <c r="K72" s="41">
        <v>400</v>
      </c>
      <c r="L72" s="41" t="str">
        <f t="shared" si="12"/>
        <v>9×400=</v>
      </c>
      <c r="M72" s="41">
        <f t="shared" si="13"/>
        <v>3600</v>
      </c>
    </row>
    <row r="73" spans="1:18" ht="21.95" customHeight="1" x14ac:dyDescent="0.25">
      <c r="A73" s="65"/>
      <c r="B73" s="68"/>
      <c r="C73" s="35">
        <v>44166</v>
      </c>
      <c r="D73" s="27" t="s">
        <v>57</v>
      </c>
      <c r="E73" s="27" t="s">
        <v>58</v>
      </c>
      <c r="F73" s="27" t="s">
        <v>51</v>
      </c>
      <c r="G73" s="27" t="s">
        <v>52</v>
      </c>
      <c r="H73" s="28">
        <v>0</v>
      </c>
      <c r="I73" s="28">
        <v>8</v>
      </c>
      <c r="J73" s="40">
        <v>8</v>
      </c>
      <c r="K73" s="39">
        <v>400</v>
      </c>
      <c r="L73" s="41" t="str">
        <f t="shared" si="12"/>
        <v>8×400=</v>
      </c>
      <c r="M73" s="41">
        <f t="shared" si="13"/>
        <v>3200</v>
      </c>
    </row>
    <row r="74" spans="1:18" ht="21.95" customHeight="1" thickBot="1" x14ac:dyDescent="0.3">
      <c r="A74" s="66"/>
      <c r="B74" s="69"/>
      <c r="C74" s="36">
        <v>44197</v>
      </c>
      <c r="D74" s="30" t="s">
        <v>59</v>
      </c>
      <c r="E74" s="30" t="s">
        <v>60</v>
      </c>
      <c r="F74" s="30" t="s">
        <v>61</v>
      </c>
      <c r="G74" s="30">
        <v>0</v>
      </c>
      <c r="H74" s="31">
        <v>0</v>
      </c>
      <c r="I74" s="31">
        <v>6</v>
      </c>
      <c r="J74" s="42">
        <v>6</v>
      </c>
      <c r="K74" s="43">
        <v>400</v>
      </c>
      <c r="L74" s="43" t="str">
        <f t="shared" si="12"/>
        <v>6×400=</v>
      </c>
      <c r="M74" s="43">
        <f t="shared" si="13"/>
        <v>2400</v>
      </c>
    </row>
    <row r="75" spans="1:18" ht="21.95" customHeight="1" x14ac:dyDescent="0.25">
      <c r="A75" s="64">
        <v>5</v>
      </c>
      <c r="B75" s="67" t="s">
        <v>68</v>
      </c>
      <c r="C75" s="37">
        <v>44095</v>
      </c>
      <c r="D75" s="32" t="s">
        <v>51</v>
      </c>
      <c r="E75" s="32" t="s">
        <v>52</v>
      </c>
      <c r="F75" s="32">
        <v>0</v>
      </c>
      <c r="G75" s="32">
        <v>0</v>
      </c>
      <c r="H75" s="33">
        <v>0</v>
      </c>
      <c r="I75" s="33">
        <v>4</v>
      </c>
      <c r="J75" s="44">
        <v>4</v>
      </c>
      <c r="K75" s="45">
        <v>400</v>
      </c>
      <c r="L75" s="46" t="str">
        <f>J75&amp;"×"&amp;K75&amp;"="</f>
        <v>4×400=</v>
      </c>
      <c r="M75" s="46">
        <f>J75*K75</f>
        <v>1600</v>
      </c>
      <c r="R75" s="1"/>
    </row>
    <row r="76" spans="1:18" ht="21.95" customHeight="1" x14ac:dyDescent="0.25">
      <c r="A76" s="65"/>
      <c r="B76" s="68"/>
      <c r="C76" s="35">
        <v>44106</v>
      </c>
      <c r="D76" s="27">
        <v>0</v>
      </c>
      <c r="E76" s="27">
        <v>0</v>
      </c>
      <c r="F76" s="27">
        <v>0</v>
      </c>
      <c r="G76" s="27">
        <v>0</v>
      </c>
      <c r="H76" s="28">
        <v>0</v>
      </c>
      <c r="I76" s="28">
        <v>0</v>
      </c>
      <c r="J76" s="40">
        <v>0</v>
      </c>
      <c r="K76" s="41">
        <v>400</v>
      </c>
      <c r="L76" s="41" t="str">
        <f t="shared" ref="L76:L79" si="14">J76&amp;"×"&amp;K76&amp;"="</f>
        <v>0×400=</v>
      </c>
      <c r="M76" s="41">
        <f t="shared" ref="M76:M79" si="15">J76*K76</f>
        <v>0</v>
      </c>
    </row>
    <row r="77" spans="1:18" ht="21.95" customHeight="1" x14ac:dyDescent="0.25">
      <c r="A77" s="65"/>
      <c r="B77" s="68"/>
      <c r="C77" s="35">
        <v>44136</v>
      </c>
      <c r="D77" s="27" t="s">
        <v>55</v>
      </c>
      <c r="E77" s="27" t="s">
        <v>56</v>
      </c>
      <c r="F77" s="27" t="s">
        <v>53</v>
      </c>
      <c r="G77" s="27" t="s">
        <v>54</v>
      </c>
      <c r="H77" s="28">
        <v>30</v>
      </c>
      <c r="I77" s="28">
        <v>9</v>
      </c>
      <c r="J77" s="40">
        <v>9</v>
      </c>
      <c r="K77" s="41">
        <v>400</v>
      </c>
      <c r="L77" s="41" t="str">
        <f t="shared" si="14"/>
        <v>9×400=</v>
      </c>
      <c r="M77" s="41">
        <f t="shared" si="15"/>
        <v>3600</v>
      </c>
    </row>
    <row r="78" spans="1:18" ht="21.95" customHeight="1" x14ac:dyDescent="0.25">
      <c r="A78" s="65"/>
      <c r="B78" s="68"/>
      <c r="C78" s="35">
        <v>44166</v>
      </c>
      <c r="D78" s="27" t="s">
        <v>57</v>
      </c>
      <c r="E78" s="27" t="s">
        <v>58</v>
      </c>
      <c r="F78" s="27" t="s">
        <v>51</v>
      </c>
      <c r="G78" s="27" t="s">
        <v>52</v>
      </c>
      <c r="H78" s="28">
        <v>0</v>
      </c>
      <c r="I78" s="28">
        <v>8</v>
      </c>
      <c r="J78" s="40">
        <v>8</v>
      </c>
      <c r="K78" s="39">
        <v>400</v>
      </c>
      <c r="L78" s="41" t="str">
        <f t="shared" si="14"/>
        <v>8×400=</v>
      </c>
      <c r="M78" s="41">
        <f t="shared" si="15"/>
        <v>3200</v>
      </c>
    </row>
    <row r="79" spans="1:18" ht="21.95" customHeight="1" thickBot="1" x14ac:dyDescent="0.3">
      <c r="A79" s="66"/>
      <c r="B79" s="69"/>
      <c r="C79" s="36">
        <v>44197</v>
      </c>
      <c r="D79" s="30" t="s">
        <v>59</v>
      </c>
      <c r="E79" s="30" t="s">
        <v>60</v>
      </c>
      <c r="F79" s="30" t="s">
        <v>61</v>
      </c>
      <c r="G79" s="30">
        <v>0</v>
      </c>
      <c r="H79" s="31">
        <v>0</v>
      </c>
      <c r="I79" s="31">
        <v>6</v>
      </c>
      <c r="J79" s="42">
        <v>6</v>
      </c>
      <c r="K79" s="43">
        <v>400</v>
      </c>
      <c r="L79" s="43" t="str">
        <f t="shared" si="14"/>
        <v>6×400=</v>
      </c>
      <c r="M79" s="43">
        <f t="shared" si="15"/>
        <v>2400</v>
      </c>
    </row>
    <row r="80" spans="1:18" ht="21.95" customHeight="1" x14ac:dyDescent="0.25">
      <c r="A80" s="64">
        <v>6</v>
      </c>
      <c r="B80" s="67" t="s">
        <v>69</v>
      </c>
      <c r="C80" s="37">
        <v>44095</v>
      </c>
      <c r="D80" s="32" t="s">
        <v>51</v>
      </c>
      <c r="E80" s="32" t="s">
        <v>52</v>
      </c>
      <c r="F80" s="32">
        <v>0</v>
      </c>
      <c r="G80" s="32">
        <v>0</v>
      </c>
      <c r="H80" s="33">
        <v>0</v>
      </c>
      <c r="I80" s="33">
        <v>4</v>
      </c>
      <c r="J80" s="44">
        <v>4</v>
      </c>
      <c r="K80" s="45">
        <v>400</v>
      </c>
      <c r="L80" s="46" t="str">
        <f>J80&amp;"×"&amp;K80&amp;"="</f>
        <v>4×400=</v>
      </c>
      <c r="M80" s="46">
        <f>J80*K80</f>
        <v>1600</v>
      </c>
      <c r="R80" s="1"/>
    </row>
    <row r="81" spans="1:13" ht="21.95" customHeight="1" x14ac:dyDescent="0.25">
      <c r="A81" s="65"/>
      <c r="B81" s="68"/>
      <c r="C81" s="35">
        <v>44106</v>
      </c>
      <c r="D81" s="27">
        <v>0</v>
      </c>
      <c r="E81" s="27">
        <v>0</v>
      </c>
      <c r="F81" s="27">
        <v>0</v>
      </c>
      <c r="G81" s="27">
        <v>0</v>
      </c>
      <c r="H81" s="28">
        <v>0</v>
      </c>
      <c r="I81" s="28">
        <v>0</v>
      </c>
      <c r="J81" s="40">
        <v>0</v>
      </c>
      <c r="K81" s="41">
        <v>400</v>
      </c>
      <c r="L81" s="41" t="str">
        <f t="shared" ref="L81:L84" si="16">J81&amp;"×"&amp;K81&amp;"="</f>
        <v>0×400=</v>
      </c>
      <c r="M81" s="41">
        <f t="shared" ref="M81:M84" si="17">J81*K81</f>
        <v>0</v>
      </c>
    </row>
    <row r="82" spans="1:13" ht="21.95" customHeight="1" x14ac:dyDescent="0.25">
      <c r="A82" s="65"/>
      <c r="B82" s="68"/>
      <c r="C82" s="35">
        <v>44136</v>
      </c>
      <c r="D82" s="27" t="s">
        <v>55</v>
      </c>
      <c r="E82" s="27" t="s">
        <v>56</v>
      </c>
      <c r="F82" s="27" t="s">
        <v>53</v>
      </c>
      <c r="G82" s="27" t="s">
        <v>54</v>
      </c>
      <c r="H82" s="28">
        <v>30</v>
      </c>
      <c r="I82" s="28">
        <v>9</v>
      </c>
      <c r="J82" s="40">
        <v>9</v>
      </c>
      <c r="K82" s="41">
        <v>400</v>
      </c>
      <c r="L82" s="41" t="str">
        <f t="shared" si="16"/>
        <v>9×400=</v>
      </c>
      <c r="M82" s="41">
        <f t="shared" si="17"/>
        <v>3600</v>
      </c>
    </row>
    <row r="83" spans="1:13" ht="21.95" customHeight="1" x14ac:dyDescent="0.25">
      <c r="A83" s="65"/>
      <c r="B83" s="68"/>
      <c r="C83" s="35">
        <v>44166</v>
      </c>
      <c r="D83" s="27" t="s">
        <v>57</v>
      </c>
      <c r="E83" s="27" t="s">
        <v>58</v>
      </c>
      <c r="F83" s="27" t="s">
        <v>51</v>
      </c>
      <c r="G83" s="27" t="s">
        <v>52</v>
      </c>
      <c r="H83" s="28">
        <v>0</v>
      </c>
      <c r="I83" s="28">
        <v>8</v>
      </c>
      <c r="J83" s="40">
        <v>8</v>
      </c>
      <c r="K83" s="39">
        <v>400</v>
      </c>
      <c r="L83" s="41" t="str">
        <f t="shared" si="16"/>
        <v>8×400=</v>
      </c>
      <c r="M83" s="41">
        <f t="shared" si="17"/>
        <v>3200</v>
      </c>
    </row>
    <row r="84" spans="1:13" ht="21.95" customHeight="1" thickBot="1" x14ac:dyDescent="0.3">
      <c r="A84" s="66"/>
      <c r="B84" s="69"/>
      <c r="C84" s="36">
        <v>44197</v>
      </c>
      <c r="D84" s="30" t="s">
        <v>59</v>
      </c>
      <c r="E84" s="30" t="s">
        <v>60</v>
      </c>
      <c r="F84" s="30" t="s">
        <v>61</v>
      </c>
      <c r="G84" s="30">
        <v>0</v>
      </c>
      <c r="H84" s="31">
        <v>0</v>
      </c>
      <c r="I84" s="31">
        <v>6</v>
      </c>
      <c r="J84" s="42">
        <v>6</v>
      </c>
      <c r="K84" s="43">
        <v>400</v>
      </c>
      <c r="L84" s="43" t="str">
        <f t="shared" si="16"/>
        <v>6×400=</v>
      </c>
      <c r="M84" s="43">
        <f t="shared" si="17"/>
        <v>2400</v>
      </c>
    </row>
    <row r="85" spans="1:13" ht="21.95" customHeight="1" x14ac:dyDescent="0.25">
      <c r="A85" s="47" t="s">
        <v>16</v>
      </c>
      <c r="B85" s="47"/>
      <c r="C85" s="47"/>
      <c r="D85" s="47"/>
      <c r="E85" s="47"/>
      <c r="F85" s="47"/>
      <c r="G85" s="47"/>
      <c r="H85" s="47"/>
      <c r="I85" s="47"/>
      <c r="J85" s="47"/>
      <c r="K85" s="47"/>
      <c r="L85" s="48"/>
      <c r="M85" s="26">
        <f>SUM(M60:M74)</f>
        <v>74400</v>
      </c>
    </row>
    <row r="86" spans="1:13" ht="21.95" customHeight="1" x14ac:dyDescent="0.25">
      <c r="A86" s="47" t="s">
        <v>41</v>
      </c>
      <c r="B86" s="47"/>
      <c r="C86" s="47"/>
      <c r="D86" s="47"/>
      <c r="E86" s="47"/>
      <c r="F86" s="47"/>
      <c r="G86" s="47"/>
      <c r="H86" s="47"/>
      <c r="I86" s="47"/>
      <c r="J86" s="47"/>
      <c r="K86" s="47"/>
      <c r="L86" s="48"/>
      <c r="M86" s="26">
        <f>M85*0.05</f>
        <v>3720</v>
      </c>
    </row>
    <row r="87" spans="1:13" ht="21.95" customHeight="1" x14ac:dyDescent="0.25">
      <c r="A87" s="47" t="s">
        <v>49</v>
      </c>
      <c r="B87" s="47"/>
      <c r="C87" s="47"/>
      <c r="D87" s="47"/>
      <c r="E87" s="47"/>
      <c r="F87" s="47"/>
      <c r="G87" s="47"/>
      <c r="H87" s="47"/>
      <c r="I87" s="47"/>
      <c r="J87" s="47"/>
      <c r="K87" s="47"/>
      <c r="L87" s="48"/>
      <c r="M87" s="26">
        <f>M85-M86</f>
        <v>70680</v>
      </c>
    </row>
    <row r="88" spans="1:13" ht="15.75" x14ac:dyDescent="0.25">
      <c r="A88" s="11"/>
      <c r="B88" s="11"/>
      <c r="C88" s="11"/>
      <c r="D88" s="11"/>
      <c r="E88" s="11"/>
      <c r="F88" s="11"/>
      <c r="G88" s="11"/>
      <c r="H88" s="11"/>
      <c r="I88" s="11"/>
      <c r="J88" s="11"/>
      <c r="K88" s="11"/>
      <c r="L88" s="11"/>
      <c r="M88" s="11"/>
    </row>
    <row r="91" spans="1:13" x14ac:dyDescent="0.25">
      <c r="B91" s="25"/>
    </row>
    <row r="92" spans="1:13" x14ac:dyDescent="0.25">
      <c r="B92" s="25"/>
    </row>
    <row r="93" spans="1:13" x14ac:dyDescent="0.25">
      <c r="B93" s="25"/>
    </row>
    <row r="132" spans="1:13" ht="15.75" thickBot="1" x14ac:dyDescent="0.3"/>
    <row r="133" spans="1:13" ht="14.25" customHeight="1" x14ac:dyDescent="0.25">
      <c r="A133" s="49" t="s">
        <v>64</v>
      </c>
      <c r="B133" s="50"/>
      <c r="C133" s="50"/>
      <c r="D133" s="50"/>
      <c r="E133" s="50"/>
      <c r="F133" s="50"/>
      <c r="G133" s="50"/>
      <c r="H133" s="50"/>
      <c r="I133" s="50"/>
      <c r="J133" s="50"/>
      <c r="K133" s="53" t="s">
        <v>24</v>
      </c>
      <c r="L133" s="50"/>
      <c r="M133" s="54"/>
    </row>
    <row r="134" spans="1:13" ht="14.25" hidden="1" customHeight="1" x14ac:dyDescent="0.25">
      <c r="A134" s="51"/>
      <c r="B134" s="52"/>
      <c r="C134" s="52"/>
      <c r="D134" s="52"/>
      <c r="E134" s="52"/>
      <c r="F134" s="52"/>
      <c r="G134" s="52"/>
      <c r="H134" s="52"/>
      <c r="I134" s="52"/>
      <c r="J134" s="52"/>
      <c r="K134" s="55"/>
      <c r="L134" s="52"/>
      <c r="M134" s="56"/>
    </row>
    <row r="135" spans="1:13" ht="21.75" customHeight="1" x14ac:dyDescent="0.25">
      <c r="A135" s="51"/>
      <c r="B135" s="52"/>
      <c r="C135" s="52"/>
      <c r="D135" s="52"/>
      <c r="E135" s="52"/>
      <c r="F135" s="52"/>
      <c r="G135" s="52"/>
      <c r="H135" s="52"/>
      <c r="I135" s="52"/>
      <c r="J135" s="52"/>
      <c r="K135" s="55"/>
      <c r="L135" s="52"/>
      <c r="M135" s="56"/>
    </row>
    <row r="136" spans="1:13" ht="15" customHeight="1" x14ac:dyDescent="0.25">
      <c r="A136" s="51"/>
      <c r="B136" s="52"/>
      <c r="C136" s="52"/>
      <c r="D136" s="52"/>
      <c r="E136" s="52"/>
      <c r="F136" s="52"/>
      <c r="G136" s="52"/>
      <c r="H136" s="52"/>
      <c r="I136" s="52"/>
      <c r="J136" s="52"/>
      <c r="K136" s="55"/>
      <c r="L136" s="52"/>
      <c r="M136" s="56"/>
    </row>
    <row r="137" spans="1:13" ht="15" customHeight="1" x14ac:dyDescent="0.25">
      <c r="A137" s="51"/>
      <c r="B137" s="52"/>
      <c r="C137" s="52"/>
      <c r="D137" s="52"/>
      <c r="E137" s="52"/>
      <c r="F137" s="52"/>
      <c r="G137" s="52"/>
      <c r="H137" s="52"/>
      <c r="I137" s="52"/>
      <c r="J137" s="52"/>
      <c r="K137" s="55"/>
      <c r="L137" s="52"/>
      <c r="M137" s="56"/>
    </row>
    <row r="138" spans="1:13" ht="15" customHeight="1" x14ac:dyDescent="0.25">
      <c r="A138" s="51"/>
      <c r="B138" s="52"/>
      <c r="C138" s="52"/>
      <c r="D138" s="52"/>
      <c r="E138" s="52"/>
      <c r="F138" s="52"/>
      <c r="G138" s="52"/>
      <c r="H138" s="52"/>
      <c r="I138" s="52"/>
      <c r="J138" s="52"/>
      <c r="K138" s="55"/>
      <c r="L138" s="52"/>
      <c r="M138" s="56"/>
    </row>
    <row r="139" spans="1:13" ht="15" customHeight="1" x14ac:dyDescent="0.25">
      <c r="A139" s="51"/>
      <c r="B139" s="52"/>
      <c r="C139" s="52"/>
      <c r="D139" s="52"/>
      <c r="E139" s="52"/>
      <c r="F139" s="52"/>
      <c r="G139" s="52"/>
      <c r="H139" s="52"/>
      <c r="I139" s="52"/>
      <c r="J139" s="52"/>
      <c r="K139" s="55"/>
      <c r="L139" s="52"/>
      <c r="M139" s="56"/>
    </row>
    <row r="140" spans="1:13" ht="15.75" x14ac:dyDescent="0.25">
      <c r="A140" s="60" t="s">
        <v>50</v>
      </c>
      <c r="B140" s="61"/>
      <c r="C140" s="61"/>
      <c r="D140" s="61"/>
      <c r="E140" s="61"/>
      <c r="F140" s="61"/>
      <c r="G140" s="61"/>
      <c r="H140" s="61"/>
      <c r="I140" s="61"/>
      <c r="J140" s="61"/>
      <c r="K140" s="55"/>
      <c r="L140" s="52"/>
      <c r="M140" s="56"/>
    </row>
    <row r="141" spans="1:13" ht="15.75" x14ac:dyDescent="0.25">
      <c r="A141" s="60" t="s">
        <v>38</v>
      </c>
      <c r="B141" s="61"/>
      <c r="C141" s="61"/>
      <c r="D141" s="61"/>
      <c r="E141" s="61"/>
      <c r="F141" s="61"/>
      <c r="G141" s="61"/>
      <c r="H141" s="61"/>
      <c r="I141" s="61"/>
      <c r="J141" s="61"/>
      <c r="K141" s="55"/>
      <c r="L141" s="52"/>
      <c r="M141" s="56"/>
    </row>
    <row r="142" spans="1:13" ht="14.25" customHeight="1" thickBot="1" x14ac:dyDescent="0.3">
      <c r="A142" s="62" t="s">
        <v>39</v>
      </c>
      <c r="B142" s="63"/>
      <c r="C142" s="63"/>
      <c r="D142" s="63"/>
      <c r="E142" s="63"/>
      <c r="F142" s="63"/>
      <c r="G142" s="63"/>
      <c r="H142" s="63"/>
      <c r="I142" s="63"/>
      <c r="J142" s="63"/>
      <c r="K142" s="57"/>
      <c r="L142" s="58"/>
      <c r="M142" s="59"/>
    </row>
  </sheetData>
  <mergeCells count="46">
    <mergeCell ref="B7:B11"/>
    <mergeCell ref="A7:A11"/>
    <mergeCell ref="K44:M53"/>
    <mergeCell ref="A44:J50"/>
    <mergeCell ref="A51:J51"/>
    <mergeCell ref="A52:J52"/>
    <mergeCell ref="A53:J53"/>
    <mergeCell ref="D6:H6"/>
    <mergeCell ref="A1:M1"/>
    <mergeCell ref="A2:M2"/>
    <mergeCell ref="A3:B3"/>
    <mergeCell ref="C3:M3"/>
    <mergeCell ref="A4:M4"/>
    <mergeCell ref="A5:M5"/>
    <mergeCell ref="A12:A16"/>
    <mergeCell ref="B12:B16"/>
    <mergeCell ref="A17:A21"/>
    <mergeCell ref="B17:B21"/>
    <mergeCell ref="A23:L23"/>
    <mergeCell ref="A54:M54"/>
    <mergeCell ref="A55:M55"/>
    <mergeCell ref="A56:B56"/>
    <mergeCell ref="C56:M56"/>
    <mergeCell ref="A22:L22"/>
    <mergeCell ref="A24:L24"/>
    <mergeCell ref="A57:M57"/>
    <mergeCell ref="A58:M58"/>
    <mergeCell ref="D59:H59"/>
    <mergeCell ref="A60:A64"/>
    <mergeCell ref="B60:B64"/>
    <mergeCell ref="A65:A69"/>
    <mergeCell ref="B65:B69"/>
    <mergeCell ref="A70:A74"/>
    <mergeCell ref="B70:B74"/>
    <mergeCell ref="A85:L85"/>
    <mergeCell ref="A75:A79"/>
    <mergeCell ref="B75:B79"/>
    <mergeCell ref="A80:A84"/>
    <mergeCell ref="B80:B84"/>
    <mergeCell ref="A86:L86"/>
    <mergeCell ref="A87:L87"/>
    <mergeCell ref="A133:J139"/>
    <mergeCell ref="K133:M142"/>
    <mergeCell ref="A140:J140"/>
    <mergeCell ref="A141:J141"/>
    <mergeCell ref="A142:J142"/>
  </mergeCells>
  <pageMargins left="0.39370078740157483" right="0.23622047244094491" top="0.74803149606299213" bottom="0.74803149606299213" header="0.31496062992125984" footer="0.31496062992125984"/>
  <pageSetup paperSize="5" scale="65" fitToHeight="0" orientation="portrait" r:id="rId1"/>
  <headerFooter>
    <oddHeader xml:space="preserve">&amp;L&amp;14 SECOND SEM 2020&amp;COnline Class &amp;"-,Bold"21st Sept 2020&amp;"-,Regular" to &amp;"-,Bold"2nd Oct 2020
&amp;"-,Regular"Physical Class&amp;"-,Bold" 2nd Nov 2020 to 26th Nov 2020
&amp;"-,Regular"Online Class&amp;"-,Bold" 30th Nov 2020 to 22nd Jan 2021
&amp;R&amp;14EVENING PROGRAM </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5"/>
  <sheetViews>
    <sheetView view="pageLayout" zoomScaleNormal="100" workbookViewId="0">
      <selection activeCell="B20" sqref="B20"/>
    </sheetView>
  </sheetViews>
  <sheetFormatPr defaultRowHeight="15" x14ac:dyDescent="0.25"/>
  <cols>
    <col min="2" max="2" width="11.42578125" bestFit="1" customWidth="1"/>
  </cols>
  <sheetData>
    <row r="5" spans="6:6" x14ac:dyDescent="0.25">
      <c r="F5" t="s">
        <v>94</v>
      </c>
    </row>
  </sheetData>
  <pageMargins left="0.7" right="0.7" top="0.75" bottom="0.75" header="0.3" footer="0.3"/>
  <pageSetup paperSize="9" orientation="portrait" r:id="rId1"/>
  <headerFooter>
    <oddHeader>&amp;L&amp;"-,Bold"SECOND SEM 2020&amp;C&amp;"-,Bold"Online Class 21st Sept 2020 to 2nd Oct 2020
Physical Class 2nd Nov 2020 to 26th Nov 2020
Online Class 30th Nov 2020 to 22nd Jan 2021&amp;R&amp;"-,Bold"EVENING PROGRAM</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S39"/>
  <sheetViews>
    <sheetView view="pageBreakPreview" zoomScale="80" zoomScaleNormal="80" zoomScaleSheetLayoutView="80" workbookViewId="0">
      <selection activeCell="N28" sqref="N28"/>
    </sheetView>
  </sheetViews>
  <sheetFormatPr defaultRowHeight="15" x14ac:dyDescent="0.25"/>
  <cols>
    <col min="1" max="1" width="5.85546875" customWidth="1"/>
    <col min="2" max="2" width="51.140625" customWidth="1"/>
    <col min="3" max="3" width="10" customWidth="1"/>
    <col min="4" max="6" width="3.7109375" bestFit="1" customWidth="1"/>
    <col min="7" max="7" width="4.42578125" customWidth="1"/>
    <col min="8" max="8" width="3.7109375" customWidth="1"/>
    <col min="12" max="12" width="9.85546875" customWidth="1"/>
    <col min="13" max="13" width="11" customWidth="1"/>
    <col min="14" max="14" width="9.85546875" customWidth="1"/>
  </cols>
  <sheetData>
    <row r="1" spans="1:19" ht="48.75" customHeight="1" x14ac:dyDescent="0.3">
      <c r="A1" s="74" t="s">
        <v>15</v>
      </c>
      <c r="B1" s="74"/>
      <c r="C1" s="74"/>
      <c r="D1" s="74"/>
      <c r="E1" s="74"/>
      <c r="F1" s="74"/>
      <c r="G1" s="74"/>
      <c r="H1" s="74"/>
      <c r="I1" s="74"/>
      <c r="J1" s="74"/>
      <c r="K1" s="74"/>
      <c r="L1" s="74"/>
      <c r="M1" s="74"/>
      <c r="N1" s="74"/>
    </row>
    <row r="2" spans="1:19" ht="21" customHeight="1" x14ac:dyDescent="0.25">
      <c r="A2" s="106" t="s">
        <v>13</v>
      </c>
      <c r="B2" s="106"/>
      <c r="C2" s="106"/>
      <c r="D2" s="106"/>
      <c r="E2" s="106"/>
      <c r="F2" s="106"/>
      <c r="G2" s="106"/>
      <c r="H2" s="106"/>
      <c r="I2" s="106"/>
      <c r="J2" s="106"/>
      <c r="K2" s="106"/>
      <c r="L2" s="106"/>
      <c r="M2" s="106"/>
      <c r="N2" s="106"/>
    </row>
    <row r="3" spans="1:19" ht="21" customHeight="1" x14ac:dyDescent="0.25">
      <c r="A3" s="75" t="s">
        <v>0</v>
      </c>
      <c r="B3" s="75"/>
      <c r="C3" s="75"/>
      <c r="D3" s="75"/>
      <c r="E3" s="75"/>
      <c r="F3" s="75"/>
      <c r="G3" s="75"/>
      <c r="H3" s="75"/>
      <c r="I3" s="75"/>
      <c r="J3" s="75"/>
      <c r="K3" s="75"/>
      <c r="L3" s="75"/>
      <c r="M3" s="75"/>
      <c r="N3" s="75"/>
    </row>
    <row r="4" spans="1:19" ht="23.1" customHeight="1" x14ac:dyDescent="0.25">
      <c r="A4" s="19" t="s">
        <v>12</v>
      </c>
      <c r="B4" s="19"/>
      <c r="C4" s="19"/>
      <c r="D4" s="15">
        <v>3</v>
      </c>
      <c r="E4" s="15">
        <v>6</v>
      </c>
      <c r="F4" s="15">
        <v>3</v>
      </c>
      <c r="G4" s="15">
        <v>4</v>
      </c>
      <c r="H4" s="15">
        <v>5</v>
      </c>
      <c r="I4" s="14"/>
      <c r="J4" s="107" t="s">
        <v>5</v>
      </c>
      <c r="K4" s="107"/>
      <c r="L4" s="19" t="s">
        <v>18</v>
      </c>
      <c r="M4" s="16"/>
      <c r="N4" s="17"/>
    </row>
    <row r="5" spans="1:19" ht="23.1" customHeight="1" thickBot="1" x14ac:dyDescent="0.3"/>
    <row r="6" spans="1:19" ht="48.75" customHeight="1" thickBot="1" x14ac:dyDescent="0.3">
      <c r="A6" s="2" t="s">
        <v>1</v>
      </c>
      <c r="B6" s="3" t="s">
        <v>2</v>
      </c>
      <c r="C6" s="3" t="s">
        <v>4</v>
      </c>
      <c r="D6" s="108" t="s">
        <v>3</v>
      </c>
      <c r="E6" s="109"/>
      <c r="F6" s="109"/>
      <c r="G6" s="109"/>
      <c r="H6" s="110"/>
      <c r="I6" s="4" t="s">
        <v>6</v>
      </c>
      <c r="J6" s="4" t="s">
        <v>7</v>
      </c>
      <c r="K6" s="4" t="s">
        <v>14</v>
      </c>
      <c r="L6" s="4" t="s">
        <v>8</v>
      </c>
      <c r="M6" s="4" t="s">
        <v>9</v>
      </c>
      <c r="N6" s="4" t="s">
        <v>10</v>
      </c>
    </row>
    <row r="7" spans="1:19" ht="21.95" customHeight="1" x14ac:dyDescent="0.25">
      <c r="A7" s="64">
        <v>1</v>
      </c>
      <c r="B7" s="5" t="s">
        <v>27</v>
      </c>
      <c r="C7" s="6">
        <v>42583</v>
      </c>
      <c r="D7" s="7">
        <v>4</v>
      </c>
      <c r="E7" s="7">
        <f>IF(D7+7&gt;EOMONTH(C7,0),"-",D7+7)</f>
        <v>11</v>
      </c>
      <c r="F7" s="7">
        <f t="shared" ref="F7:H9" si="0">IF(E7+7&gt;EOMONTH(D7,0),"-",E7+7)</f>
        <v>18</v>
      </c>
      <c r="G7" s="7">
        <f t="shared" si="0"/>
        <v>25</v>
      </c>
      <c r="H7" s="8" t="str">
        <f t="shared" si="0"/>
        <v>-</v>
      </c>
      <c r="I7" s="18">
        <f>(COUNT(D7:H7))*3</f>
        <v>12</v>
      </c>
      <c r="J7" s="9">
        <v>400</v>
      </c>
      <c r="K7" s="9" t="str">
        <f>I7&amp;"×"&amp;J7&amp;"="</f>
        <v>12×400=</v>
      </c>
      <c r="L7" s="9">
        <f>I7*J7</f>
        <v>4800</v>
      </c>
      <c r="M7" s="9">
        <f>L7*0.07</f>
        <v>336.00000000000006</v>
      </c>
      <c r="N7" s="9">
        <f>L7-M7</f>
        <v>4464</v>
      </c>
      <c r="S7" s="1"/>
    </row>
    <row r="8" spans="1:19" ht="21.95" customHeight="1" x14ac:dyDescent="0.25">
      <c r="A8" s="65"/>
      <c r="B8" s="20" t="s">
        <v>28</v>
      </c>
      <c r="C8" s="6">
        <v>42614</v>
      </c>
      <c r="D8" s="7">
        <v>1</v>
      </c>
      <c r="E8" s="7">
        <v>8</v>
      </c>
      <c r="F8" s="7">
        <f t="shared" si="0"/>
        <v>15</v>
      </c>
      <c r="G8" s="7">
        <f t="shared" si="0"/>
        <v>22</v>
      </c>
      <c r="H8" s="8">
        <v>29</v>
      </c>
      <c r="I8" s="18">
        <v>15</v>
      </c>
      <c r="J8" s="9">
        <v>400</v>
      </c>
      <c r="K8" s="9" t="str">
        <f t="shared" ref="K8:K10" si="1">I8&amp;"×"&amp;J8&amp;"="</f>
        <v>15×400=</v>
      </c>
      <c r="L8" s="9">
        <f t="shared" ref="L8:L10" si="2">I8*J8</f>
        <v>6000</v>
      </c>
      <c r="M8" s="9">
        <f t="shared" ref="M8:M10" si="3">L8*0.07</f>
        <v>420.00000000000006</v>
      </c>
      <c r="N8" s="9">
        <f t="shared" ref="N8:N10" si="4">L8-M8</f>
        <v>5580</v>
      </c>
    </row>
    <row r="9" spans="1:19" ht="21.95" customHeight="1" x14ac:dyDescent="0.25">
      <c r="A9" s="65"/>
      <c r="B9" s="13" t="s">
        <v>31</v>
      </c>
      <c r="C9" s="6">
        <v>42644</v>
      </c>
      <c r="D9" s="7">
        <v>6</v>
      </c>
      <c r="E9" s="7">
        <f t="shared" ref="E9:E10" si="5">IF(D9+7&gt;EOMONTH(C9,0),"-",D9+7)</f>
        <v>13</v>
      </c>
      <c r="F9" s="7">
        <f t="shared" si="0"/>
        <v>20</v>
      </c>
      <c r="G9" s="7">
        <f t="shared" si="0"/>
        <v>27</v>
      </c>
      <c r="H9" s="8" t="str">
        <f t="shared" si="0"/>
        <v>-</v>
      </c>
      <c r="I9" s="18">
        <f t="shared" ref="I9" si="6">(COUNT(D9:H9))*3</f>
        <v>12</v>
      </c>
      <c r="J9" s="9">
        <v>400</v>
      </c>
      <c r="K9" s="9" t="str">
        <f t="shared" si="1"/>
        <v>12×400=</v>
      </c>
      <c r="L9" s="9">
        <f t="shared" si="2"/>
        <v>4800</v>
      </c>
      <c r="M9" s="9">
        <f t="shared" si="3"/>
        <v>336.00000000000006</v>
      </c>
      <c r="N9" s="9">
        <f t="shared" si="4"/>
        <v>4464</v>
      </c>
    </row>
    <row r="10" spans="1:19" ht="21.95" customHeight="1" x14ac:dyDescent="0.25">
      <c r="A10" s="105"/>
      <c r="B10" s="5" t="s">
        <v>26</v>
      </c>
      <c r="C10" s="6">
        <v>42675</v>
      </c>
      <c r="D10" s="7">
        <v>3</v>
      </c>
      <c r="E10" s="7">
        <f t="shared" si="5"/>
        <v>10</v>
      </c>
      <c r="F10" s="7">
        <v>17</v>
      </c>
      <c r="G10" s="7">
        <v>0</v>
      </c>
      <c r="H10" s="8">
        <v>0</v>
      </c>
      <c r="I10" s="18">
        <v>9</v>
      </c>
      <c r="J10" s="9">
        <v>400</v>
      </c>
      <c r="K10" s="9" t="str">
        <f t="shared" si="1"/>
        <v>9×400=</v>
      </c>
      <c r="L10" s="9">
        <f t="shared" si="2"/>
        <v>3600</v>
      </c>
      <c r="M10" s="9">
        <f t="shared" si="3"/>
        <v>252.00000000000003</v>
      </c>
      <c r="N10" s="9">
        <f t="shared" si="4"/>
        <v>3348</v>
      </c>
    </row>
    <row r="11" spans="1:19" ht="21.95" customHeight="1" thickBot="1" x14ac:dyDescent="0.3">
      <c r="A11" s="77" t="s">
        <v>16</v>
      </c>
      <c r="B11" s="77"/>
      <c r="C11" s="77"/>
      <c r="D11" s="77"/>
      <c r="E11" s="77"/>
      <c r="F11" s="77"/>
      <c r="G11" s="77"/>
      <c r="H11" s="77"/>
      <c r="I11" s="77"/>
      <c r="J11" s="77"/>
      <c r="K11" s="78"/>
      <c r="L11" s="10">
        <f>SUM($L$7:$L$10)</f>
        <v>19200</v>
      </c>
      <c r="M11" s="10">
        <f>SUM($M$7:$M$10)</f>
        <v>1344.0000000000002</v>
      </c>
      <c r="N11" s="10">
        <f>SUM($N$7:$N$10)</f>
        <v>17856</v>
      </c>
    </row>
    <row r="12" spans="1:19" ht="21.95" customHeight="1" x14ac:dyDescent="0.25">
      <c r="A12" s="64">
        <v>2</v>
      </c>
      <c r="B12" s="5" t="s">
        <v>27</v>
      </c>
      <c r="C12" s="6">
        <v>42583</v>
      </c>
      <c r="D12" s="7">
        <v>4</v>
      </c>
      <c r="E12" s="7">
        <f>IF(D12+7&gt;EOMONTH(C12,0),"-",D12+7)</f>
        <v>11</v>
      </c>
      <c r="F12" s="7">
        <f t="shared" ref="F12:H15" si="7">IF(E12+7&gt;EOMONTH(D12,0),"-",E12+7)</f>
        <v>18</v>
      </c>
      <c r="G12" s="7">
        <f t="shared" si="7"/>
        <v>25</v>
      </c>
      <c r="H12" s="8" t="str">
        <f t="shared" si="7"/>
        <v>-</v>
      </c>
      <c r="I12" s="18">
        <f>(COUNT(D12:H12))*3</f>
        <v>12</v>
      </c>
      <c r="J12" s="9">
        <v>400</v>
      </c>
      <c r="K12" s="9" t="str">
        <f>I12&amp;"×"&amp;J12&amp;"="</f>
        <v>12×400=</v>
      </c>
      <c r="L12" s="9">
        <f>I12*J12</f>
        <v>4800</v>
      </c>
      <c r="M12" s="9">
        <f>L12*0.07</f>
        <v>336.00000000000006</v>
      </c>
      <c r="N12" s="9">
        <f>L12-M12</f>
        <v>4464</v>
      </c>
    </row>
    <row r="13" spans="1:19" ht="21.95" customHeight="1" x14ac:dyDescent="0.25">
      <c r="A13" s="65"/>
      <c r="B13" s="20" t="s">
        <v>29</v>
      </c>
      <c r="C13" s="6">
        <v>42614</v>
      </c>
      <c r="D13" s="7">
        <v>1</v>
      </c>
      <c r="E13" s="7">
        <f t="shared" ref="E13:E15" si="8">IF(D13+7&gt;EOMONTH(C13,0),"-",D13+7)</f>
        <v>8</v>
      </c>
      <c r="F13" s="7">
        <f t="shared" si="7"/>
        <v>15</v>
      </c>
      <c r="G13" s="7">
        <f t="shared" si="7"/>
        <v>22</v>
      </c>
      <c r="H13" s="8">
        <f t="shared" si="7"/>
        <v>29</v>
      </c>
      <c r="I13" s="18">
        <f t="shared" ref="I13:I14" si="9">(COUNT(D13:H13))*3</f>
        <v>15</v>
      </c>
      <c r="J13" s="9">
        <v>400</v>
      </c>
      <c r="K13" s="9" t="str">
        <f t="shared" ref="K13:K15" si="10">I13&amp;"×"&amp;J13&amp;"="</f>
        <v>15×400=</v>
      </c>
      <c r="L13" s="9">
        <f t="shared" ref="L13:L15" si="11">I13*J13</f>
        <v>6000</v>
      </c>
      <c r="M13" s="9">
        <f t="shared" ref="M13:M15" si="12">L13*0.07</f>
        <v>420.00000000000006</v>
      </c>
      <c r="N13" s="9">
        <f t="shared" ref="N13:N15" si="13">L13-M13</f>
        <v>5580</v>
      </c>
    </row>
    <row r="14" spans="1:19" ht="21.95" customHeight="1" x14ac:dyDescent="0.25">
      <c r="A14" s="65"/>
      <c r="B14" s="13" t="s">
        <v>30</v>
      </c>
      <c r="C14" s="6">
        <v>42644</v>
      </c>
      <c r="D14" s="7">
        <v>6</v>
      </c>
      <c r="E14" s="7">
        <f t="shared" si="8"/>
        <v>13</v>
      </c>
      <c r="F14" s="7">
        <f t="shared" si="7"/>
        <v>20</v>
      </c>
      <c r="G14" s="7">
        <f t="shared" si="7"/>
        <v>27</v>
      </c>
      <c r="H14" s="8" t="str">
        <f t="shared" si="7"/>
        <v>-</v>
      </c>
      <c r="I14" s="18">
        <f t="shared" si="9"/>
        <v>12</v>
      </c>
      <c r="J14" s="9">
        <v>400</v>
      </c>
      <c r="K14" s="9" t="str">
        <f t="shared" si="10"/>
        <v>12×400=</v>
      </c>
      <c r="L14" s="9">
        <f t="shared" si="11"/>
        <v>4800</v>
      </c>
      <c r="M14" s="9">
        <f t="shared" si="12"/>
        <v>336.00000000000006</v>
      </c>
      <c r="N14" s="9">
        <f t="shared" si="13"/>
        <v>4464</v>
      </c>
    </row>
    <row r="15" spans="1:19" ht="21.95" customHeight="1" x14ac:dyDescent="0.25">
      <c r="A15" s="105"/>
      <c r="B15" s="5" t="s">
        <v>26</v>
      </c>
      <c r="C15" s="6">
        <v>42675</v>
      </c>
      <c r="D15" s="7">
        <v>3</v>
      </c>
      <c r="E15" s="7">
        <f t="shared" si="8"/>
        <v>10</v>
      </c>
      <c r="F15" s="7">
        <f t="shared" si="7"/>
        <v>17</v>
      </c>
      <c r="G15" s="7">
        <v>0</v>
      </c>
      <c r="H15" s="8">
        <v>0</v>
      </c>
      <c r="I15" s="18">
        <v>9</v>
      </c>
      <c r="J15" s="9">
        <v>400</v>
      </c>
      <c r="K15" s="9" t="str">
        <f t="shared" si="10"/>
        <v>9×400=</v>
      </c>
      <c r="L15" s="9">
        <f t="shared" si="11"/>
        <v>3600</v>
      </c>
      <c r="M15" s="9">
        <f t="shared" si="12"/>
        <v>252.00000000000003</v>
      </c>
      <c r="N15" s="9">
        <f t="shared" si="13"/>
        <v>3348</v>
      </c>
    </row>
    <row r="16" spans="1:19" ht="21.95" customHeight="1" thickBot="1" x14ac:dyDescent="0.3">
      <c r="A16" s="77" t="s">
        <v>16</v>
      </c>
      <c r="B16" s="77"/>
      <c r="C16" s="77"/>
      <c r="D16" s="77"/>
      <c r="E16" s="77"/>
      <c r="F16" s="77"/>
      <c r="G16" s="77"/>
      <c r="H16" s="77"/>
      <c r="I16" s="77"/>
      <c r="J16" s="77"/>
      <c r="K16" s="78"/>
      <c r="L16" s="10">
        <f>SUM(L12:L15)</f>
        <v>19200</v>
      </c>
      <c r="M16" s="10">
        <f t="shared" ref="M16:N16" si="14">SUM(M12:M15)</f>
        <v>1344.0000000000002</v>
      </c>
      <c r="N16" s="10">
        <f t="shared" si="14"/>
        <v>17856</v>
      </c>
    </row>
    <row r="17" spans="1:14" ht="21.95" customHeight="1" x14ac:dyDescent="0.25">
      <c r="A17" s="64">
        <v>3</v>
      </c>
      <c r="B17" s="5" t="s">
        <v>27</v>
      </c>
      <c r="C17" s="6">
        <v>42583</v>
      </c>
      <c r="D17" s="7">
        <v>1</v>
      </c>
      <c r="E17" s="7">
        <f>IF(D17+7&gt;EOMONTH(C17,0),"-",D17+7)</f>
        <v>8</v>
      </c>
      <c r="F17" s="7">
        <f t="shared" ref="F17:H19" si="15">IF(E17+7&gt;EOMONTH(D17,0),"-",E17+7)</f>
        <v>15</v>
      </c>
      <c r="G17" s="7">
        <f t="shared" si="15"/>
        <v>22</v>
      </c>
      <c r="H17" s="8">
        <f t="shared" si="15"/>
        <v>29</v>
      </c>
      <c r="I17" s="18">
        <f>(COUNT(D17:H17))*3</f>
        <v>15</v>
      </c>
      <c r="J17" s="9">
        <v>400</v>
      </c>
      <c r="K17" s="9" t="str">
        <f>I17&amp;"×"&amp;J17&amp;"="</f>
        <v>15×400=</v>
      </c>
      <c r="L17" s="9">
        <f>I17*J17</f>
        <v>6000</v>
      </c>
      <c r="M17" s="9">
        <f>L17*0.07</f>
        <v>420.00000000000006</v>
      </c>
      <c r="N17" s="9">
        <f>L17-M17</f>
        <v>5580</v>
      </c>
    </row>
    <row r="18" spans="1:14" ht="21.95" customHeight="1" x14ac:dyDescent="0.25">
      <c r="A18" s="65"/>
      <c r="B18" s="5" t="s">
        <v>32</v>
      </c>
      <c r="C18" s="6">
        <v>42614</v>
      </c>
      <c r="D18" s="7">
        <v>5</v>
      </c>
      <c r="E18" s="7">
        <v>0</v>
      </c>
      <c r="F18" s="7">
        <v>19</v>
      </c>
      <c r="G18" s="7">
        <f t="shared" si="15"/>
        <v>26</v>
      </c>
      <c r="H18" s="8" t="str">
        <f t="shared" si="15"/>
        <v>-</v>
      </c>
      <c r="I18" s="18">
        <v>9</v>
      </c>
      <c r="J18" s="9">
        <v>400</v>
      </c>
      <c r="K18" s="9" t="str">
        <f t="shared" ref="K18:K20" si="16">I18&amp;"×"&amp;J18&amp;"="</f>
        <v>9×400=</v>
      </c>
      <c r="L18" s="9">
        <f t="shared" ref="L18:L20" si="17">I18*J18</f>
        <v>3600</v>
      </c>
      <c r="M18" s="9">
        <f t="shared" ref="M18:M20" si="18">L18*0.07</f>
        <v>252.00000000000003</v>
      </c>
      <c r="N18" s="9">
        <f t="shared" ref="N18:N20" si="19">L18-M18</f>
        <v>3348</v>
      </c>
    </row>
    <row r="19" spans="1:14" ht="21.95" customHeight="1" x14ac:dyDescent="0.25">
      <c r="A19" s="65"/>
      <c r="B19" s="13" t="s">
        <v>33</v>
      </c>
      <c r="C19" s="6">
        <v>42644</v>
      </c>
      <c r="D19" s="7">
        <v>3</v>
      </c>
      <c r="E19" s="7">
        <f t="shared" ref="E19:E20" si="20">IF(D19+7&gt;EOMONTH(C19,0),"-",D19+7)</f>
        <v>10</v>
      </c>
      <c r="F19" s="7">
        <f t="shared" si="15"/>
        <v>17</v>
      </c>
      <c r="G19" s="7">
        <f t="shared" si="15"/>
        <v>24</v>
      </c>
      <c r="H19" s="8">
        <f t="shared" si="15"/>
        <v>31</v>
      </c>
      <c r="I19" s="18">
        <f t="shared" ref="I19" si="21">(COUNT(D19:H19))*3</f>
        <v>15</v>
      </c>
      <c r="J19" s="9">
        <v>400</v>
      </c>
      <c r="K19" s="9" t="str">
        <f t="shared" si="16"/>
        <v>15×400=</v>
      </c>
      <c r="L19" s="9">
        <f t="shared" si="17"/>
        <v>6000</v>
      </c>
      <c r="M19" s="9">
        <f t="shared" si="18"/>
        <v>420.00000000000006</v>
      </c>
      <c r="N19" s="9">
        <f t="shared" si="19"/>
        <v>5580</v>
      </c>
    </row>
    <row r="20" spans="1:14" ht="21.95" customHeight="1" x14ac:dyDescent="0.25">
      <c r="A20" s="105"/>
      <c r="B20" s="5" t="s">
        <v>25</v>
      </c>
      <c r="C20" s="6">
        <v>42675</v>
      </c>
      <c r="D20" s="7">
        <v>7</v>
      </c>
      <c r="E20" s="7">
        <f t="shared" si="20"/>
        <v>14</v>
      </c>
      <c r="F20" s="7">
        <v>0</v>
      </c>
      <c r="G20" s="7">
        <v>0</v>
      </c>
      <c r="H20" s="8">
        <v>0</v>
      </c>
      <c r="I20" s="18">
        <v>6</v>
      </c>
      <c r="J20" s="9">
        <v>400</v>
      </c>
      <c r="K20" s="9" t="str">
        <f t="shared" si="16"/>
        <v>6×400=</v>
      </c>
      <c r="L20" s="9">
        <f t="shared" si="17"/>
        <v>2400</v>
      </c>
      <c r="M20" s="9">
        <f t="shared" si="18"/>
        <v>168.00000000000003</v>
      </c>
      <c r="N20" s="9">
        <f t="shared" si="19"/>
        <v>2232</v>
      </c>
    </row>
    <row r="21" spans="1:14" ht="21.95" customHeight="1" thickBot="1" x14ac:dyDescent="0.3">
      <c r="A21" s="77" t="s">
        <v>16</v>
      </c>
      <c r="B21" s="77"/>
      <c r="C21" s="77"/>
      <c r="D21" s="77"/>
      <c r="E21" s="77"/>
      <c r="F21" s="77"/>
      <c r="G21" s="77"/>
      <c r="H21" s="77"/>
      <c r="I21" s="77"/>
      <c r="J21" s="77"/>
      <c r="K21" s="78"/>
      <c r="L21" s="10">
        <f>SUM(L17:L20)</f>
        <v>18000</v>
      </c>
      <c r="M21" s="10">
        <f t="shared" ref="M21:N21" si="22">SUM(M17:M20)</f>
        <v>1260.0000000000002</v>
      </c>
      <c r="N21" s="10">
        <f t="shared" si="22"/>
        <v>16740</v>
      </c>
    </row>
    <row r="22" spans="1:14" ht="21.95" customHeight="1" x14ac:dyDescent="0.25">
      <c r="A22" s="64">
        <v>4</v>
      </c>
      <c r="B22" s="5" t="s">
        <v>27</v>
      </c>
      <c r="C22" s="6">
        <v>42583</v>
      </c>
      <c r="D22" s="7">
        <v>1</v>
      </c>
      <c r="E22" s="7">
        <f>IF(D22+7&gt;EOMONTH(C22,0),"-",D22+7)</f>
        <v>8</v>
      </c>
      <c r="F22" s="7">
        <f t="shared" ref="F22:H24" si="23">IF(E22+7&gt;EOMONTH(D22,0),"-",E22+7)</f>
        <v>15</v>
      </c>
      <c r="G22" s="7">
        <f t="shared" si="23"/>
        <v>22</v>
      </c>
      <c r="H22" s="8">
        <f t="shared" si="23"/>
        <v>29</v>
      </c>
      <c r="I22" s="18">
        <f>(COUNT(D22:H22))*3</f>
        <v>15</v>
      </c>
      <c r="J22" s="9">
        <v>400</v>
      </c>
      <c r="K22" s="9" t="str">
        <f>I22&amp;"×"&amp;J22&amp;"="</f>
        <v>15×400=</v>
      </c>
      <c r="L22" s="9">
        <f>I22*J22</f>
        <v>6000</v>
      </c>
      <c r="M22" s="9">
        <f>L22*0.07</f>
        <v>420.00000000000006</v>
      </c>
      <c r="N22" s="9">
        <f>L22-M22</f>
        <v>5580</v>
      </c>
    </row>
    <row r="23" spans="1:14" ht="21.95" customHeight="1" x14ac:dyDescent="0.25">
      <c r="A23" s="65"/>
      <c r="B23" s="20" t="s">
        <v>34</v>
      </c>
      <c r="C23" s="6">
        <v>42614</v>
      </c>
      <c r="D23" s="7">
        <v>5</v>
      </c>
      <c r="E23" s="7">
        <v>0</v>
      </c>
      <c r="F23" s="7">
        <v>19</v>
      </c>
      <c r="G23" s="7">
        <f t="shared" si="23"/>
        <v>26</v>
      </c>
      <c r="H23" s="8" t="str">
        <f t="shared" si="23"/>
        <v>-</v>
      </c>
      <c r="I23" s="18">
        <v>9</v>
      </c>
      <c r="J23" s="9">
        <v>400</v>
      </c>
      <c r="K23" s="9" t="str">
        <f t="shared" ref="K23:K25" si="24">I23&amp;"×"&amp;J23&amp;"="</f>
        <v>9×400=</v>
      </c>
      <c r="L23" s="9">
        <f t="shared" ref="L23:L25" si="25">I23*J23</f>
        <v>3600</v>
      </c>
      <c r="M23" s="9">
        <f t="shared" ref="M23:M25" si="26">L23*0.07</f>
        <v>252.00000000000003</v>
      </c>
      <c r="N23" s="9">
        <f t="shared" ref="N23:N25" si="27">L23-M23</f>
        <v>3348</v>
      </c>
    </row>
    <row r="24" spans="1:14" ht="21.95" customHeight="1" x14ac:dyDescent="0.25">
      <c r="A24" s="65"/>
      <c r="B24" s="13" t="s">
        <v>11</v>
      </c>
      <c r="C24" s="6">
        <v>42644</v>
      </c>
      <c r="D24" s="7">
        <v>3</v>
      </c>
      <c r="E24" s="7">
        <f t="shared" ref="E24:F25" si="28">IF(D24+7&gt;EOMONTH(C24,0),"-",D24+7)</f>
        <v>10</v>
      </c>
      <c r="F24" s="7">
        <f t="shared" si="28"/>
        <v>17</v>
      </c>
      <c r="G24" s="7">
        <f t="shared" si="23"/>
        <v>24</v>
      </c>
      <c r="H24" s="8">
        <f t="shared" si="23"/>
        <v>31</v>
      </c>
      <c r="I24" s="18">
        <f t="shared" ref="I24" si="29">(COUNT(D24:H24))*3</f>
        <v>15</v>
      </c>
      <c r="J24" s="9">
        <v>400</v>
      </c>
      <c r="K24" s="9" t="str">
        <f t="shared" si="24"/>
        <v>15×400=</v>
      </c>
      <c r="L24" s="9">
        <f t="shared" si="25"/>
        <v>6000</v>
      </c>
      <c r="M24" s="9">
        <f t="shared" si="26"/>
        <v>420.00000000000006</v>
      </c>
      <c r="N24" s="9">
        <f t="shared" si="27"/>
        <v>5580</v>
      </c>
    </row>
    <row r="25" spans="1:14" ht="21.95" customHeight="1" x14ac:dyDescent="0.25">
      <c r="A25" s="105"/>
      <c r="B25" s="5" t="s">
        <v>25</v>
      </c>
      <c r="C25" s="6">
        <v>42675</v>
      </c>
      <c r="D25" s="7">
        <v>7</v>
      </c>
      <c r="E25" s="7">
        <f t="shared" si="28"/>
        <v>14</v>
      </c>
      <c r="F25" s="7">
        <v>0</v>
      </c>
      <c r="G25" s="7">
        <v>0</v>
      </c>
      <c r="H25" s="8">
        <v>0</v>
      </c>
      <c r="I25" s="18">
        <v>6</v>
      </c>
      <c r="J25" s="9">
        <v>400</v>
      </c>
      <c r="K25" s="9" t="str">
        <f t="shared" si="24"/>
        <v>6×400=</v>
      </c>
      <c r="L25" s="9">
        <f t="shared" si="25"/>
        <v>2400</v>
      </c>
      <c r="M25" s="9">
        <f t="shared" si="26"/>
        <v>168.00000000000003</v>
      </c>
      <c r="N25" s="9">
        <f t="shared" si="27"/>
        <v>2232</v>
      </c>
    </row>
    <row r="26" spans="1:14" ht="21.95" customHeight="1" x14ac:dyDescent="0.25">
      <c r="A26" s="77" t="s">
        <v>16</v>
      </c>
      <c r="B26" s="77"/>
      <c r="C26" s="77"/>
      <c r="D26" s="77"/>
      <c r="E26" s="77"/>
      <c r="F26" s="77"/>
      <c r="G26" s="77"/>
      <c r="H26" s="77"/>
      <c r="I26" s="77"/>
      <c r="J26" s="77"/>
      <c r="K26" s="78"/>
      <c r="L26" s="10">
        <f>SUM(L22:L25)</f>
        <v>18000</v>
      </c>
      <c r="M26" s="10">
        <f t="shared" ref="M26:N26" si="30">SUM(M22:M25)</f>
        <v>1260.0000000000002</v>
      </c>
      <c r="N26" s="10">
        <f t="shared" si="30"/>
        <v>16740</v>
      </c>
    </row>
    <row r="27" spans="1:14" ht="21.95" customHeight="1" thickBot="1" x14ac:dyDescent="0.3">
      <c r="A27" s="11"/>
      <c r="B27" s="11"/>
      <c r="C27" s="11"/>
      <c r="D27" s="11"/>
      <c r="E27" s="11"/>
      <c r="F27" s="11"/>
      <c r="G27" s="11"/>
      <c r="H27" s="11"/>
      <c r="I27" s="11"/>
      <c r="J27" s="11"/>
      <c r="K27" s="11"/>
      <c r="L27" s="11"/>
      <c r="M27" s="11"/>
      <c r="N27" s="11"/>
    </row>
    <row r="28" spans="1:14" ht="21.95" customHeight="1" thickTop="1" thickBot="1" x14ac:dyDescent="0.3">
      <c r="A28" s="79" t="s">
        <v>17</v>
      </c>
      <c r="B28" s="79"/>
      <c r="C28" s="79"/>
      <c r="D28" s="79"/>
      <c r="E28" s="79"/>
      <c r="F28" s="79"/>
      <c r="G28" s="79"/>
      <c r="H28" s="79"/>
      <c r="I28" s="79"/>
      <c r="J28" s="79"/>
      <c r="K28" s="80"/>
      <c r="L28" s="12" t="e">
        <f>SUM(L11,L16,L21,L26,#REF!)</f>
        <v>#REF!</v>
      </c>
      <c r="M28" s="12" t="e">
        <f>SUM($M$11,$M$16,$M$21,$M$26,#REF!)</f>
        <v>#REF!</v>
      </c>
      <c r="N28" s="12" t="e">
        <f>SUM($N$11,$N$16,$N$21,$N$26,#REF!)</f>
        <v>#REF!</v>
      </c>
    </row>
    <row r="29" spans="1:14" ht="17.25" thickTop="1" thickBot="1" x14ac:dyDescent="0.3">
      <c r="A29" s="11"/>
      <c r="B29" s="11"/>
      <c r="C29" s="11"/>
      <c r="D29" s="11"/>
      <c r="E29" s="11"/>
      <c r="F29" s="11"/>
      <c r="G29" s="11"/>
      <c r="H29" s="11"/>
      <c r="I29" s="11"/>
      <c r="J29" s="11"/>
      <c r="K29" s="11"/>
      <c r="L29" s="11"/>
      <c r="M29" s="11"/>
      <c r="N29" s="11"/>
    </row>
    <row r="30" spans="1:14" ht="51.75" customHeight="1" x14ac:dyDescent="0.25">
      <c r="A30" s="81"/>
      <c r="B30" s="82"/>
      <c r="C30" s="85" t="s">
        <v>19</v>
      </c>
      <c r="D30" s="85"/>
      <c r="E30" s="85"/>
      <c r="F30" s="85"/>
      <c r="G30" s="85"/>
      <c r="H30" s="85"/>
      <c r="I30" s="85"/>
      <c r="J30" s="85"/>
      <c r="K30" s="86"/>
      <c r="L30" s="89" t="s">
        <v>24</v>
      </c>
      <c r="M30" s="90"/>
      <c r="N30" s="91"/>
    </row>
    <row r="31" spans="1:14" x14ac:dyDescent="0.25">
      <c r="A31" s="83"/>
      <c r="B31" s="84"/>
      <c r="C31" s="87"/>
      <c r="D31" s="87"/>
      <c r="E31" s="87"/>
      <c r="F31" s="87"/>
      <c r="G31" s="87"/>
      <c r="H31" s="87"/>
      <c r="I31" s="87"/>
      <c r="J31" s="87"/>
      <c r="K31" s="88"/>
      <c r="L31" s="92"/>
      <c r="M31" s="93"/>
      <c r="N31" s="94"/>
    </row>
    <row r="32" spans="1:14" x14ac:dyDescent="0.25">
      <c r="A32" s="83"/>
      <c r="B32" s="84"/>
      <c r="C32" s="87"/>
      <c r="D32" s="87"/>
      <c r="E32" s="87"/>
      <c r="F32" s="87"/>
      <c r="G32" s="87"/>
      <c r="H32" s="87"/>
      <c r="I32" s="87"/>
      <c r="J32" s="87"/>
      <c r="K32" s="88"/>
      <c r="L32" s="92"/>
      <c r="M32" s="93"/>
      <c r="N32" s="94"/>
    </row>
    <row r="33" spans="1:14" x14ac:dyDescent="0.25">
      <c r="A33" s="83"/>
      <c r="B33" s="84"/>
      <c r="C33" s="98"/>
      <c r="D33" s="99"/>
      <c r="E33" s="99"/>
      <c r="F33" s="99"/>
      <c r="G33" s="99"/>
      <c r="H33" s="99"/>
      <c r="I33" s="99"/>
      <c r="J33" s="99"/>
      <c r="K33" s="100"/>
      <c r="L33" s="92"/>
      <c r="M33" s="93"/>
      <c r="N33" s="94"/>
    </row>
    <row r="34" spans="1:14" x14ac:dyDescent="0.25">
      <c r="A34" s="83"/>
      <c r="B34" s="84"/>
      <c r="C34" s="98"/>
      <c r="D34" s="99"/>
      <c r="E34" s="99"/>
      <c r="F34" s="99"/>
      <c r="G34" s="99"/>
      <c r="H34" s="99"/>
      <c r="I34" s="99"/>
      <c r="J34" s="99"/>
      <c r="K34" s="100"/>
      <c r="L34" s="92"/>
      <c r="M34" s="93"/>
      <c r="N34" s="94"/>
    </row>
    <row r="35" spans="1:14" x14ac:dyDescent="0.25">
      <c r="A35" s="83"/>
      <c r="B35" s="84"/>
      <c r="C35" s="98"/>
      <c r="D35" s="99"/>
      <c r="E35" s="99"/>
      <c r="F35" s="99"/>
      <c r="G35" s="99"/>
      <c r="H35" s="99"/>
      <c r="I35" s="99"/>
      <c r="J35" s="99"/>
      <c r="K35" s="100"/>
      <c r="L35" s="92"/>
      <c r="M35" s="93"/>
      <c r="N35" s="94"/>
    </row>
    <row r="36" spans="1:14" x14ac:dyDescent="0.25">
      <c r="A36" s="83"/>
      <c r="B36" s="84"/>
      <c r="C36" s="98"/>
      <c r="D36" s="99"/>
      <c r="E36" s="99"/>
      <c r="F36" s="99"/>
      <c r="G36" s="99"/>
      <c r="H36" s="99"/>
      <c r="I36" s="99"/>
      <c r="J36" s="99"/>
      <c r="K36" s="100"/>
      <c r="L36" s="92"/>
      <c r="M36" s="93"/>
      <c r="N36" s="94"/>
    </row>
    <row r="37" spans="1:14" ht="15.75" x14ac:dyDescent="0.25">
      <c r="A37" s="83" t="s">
        <v>20</v>
      </c>
      <c r="B37" s="84"/>
      <c r="C37" s="60" t="s">
        <v>21</v>
      </c>
      <c r="D37" s="61"/>
      <c r="E37" s="61"/>
      <c r="F37" s="61"/>
      <c r="G37" s="61"/>
      <c r="H37" s="61"/>
      <c r="I37" s="61"/>
      <c r="J37" s="61"/>
      <c r="K37" s="101"/>
      <c r="L37" s="92"/>
      <c r="M37" s="93"/>
      <c r="N37" s="94"/>
    </row>
    <row r="38" spans="1:14" ht="15.75" x14ac:dyDescent="0.25">
      <c r="A38" s="83" t="str">
        <f>RIGHT(A4,LEN(A4)-SEARCH(":",A4)-1)</f>
        <v xml:space="preserve"> Mr. Irfan Ali Lund</v>
      </c>
      <c r="B38" s="84"/>
      <c r="C38" s="60" t="s">
        <v>22</v>
      </c>
      <c r="D38" s="61"/>
      <c r="E38" s="61"/>
      <c r="F38" s="61"/>
      <c r="G38" s="61"/>
      <c r="H38" s="61"/>
      <c r="I38" s="61"/>
      <c r="J38" s="61"/>
      <c r="K38" s="101"/>
      <c r="L38" s="92"/>
      <c r="M38" s="93"/>
      <c r="N38" s="94"/>
    </row>
    <row r="39" spans="1:14" ht="16.5" thickBot="1" x14ac:dyDescent="0.3">
      <c r="A39" s="102" t="str">
        <f>L4</f>
        <v>Lecturer</v>
      </c>
      <c r="B39" s="103"/>
      <c r="C39" s="62" t="s">
        <v>23</v>
      </c>
      <c r="D39" s="63"/>
      <c r="E39" s="63"/>
      <c r="F39" s="63"/>
      <c r="G39" s="63"/>
      <c r="H39" s="63"/>
      <c r="I39" s="63"/>
      <c r="J39" s="63"/>
      <c r="K39" s="104"/>
      <c r="L39" s="95"/>
      <c r="M39" s="96"/>
      <c r="N39" s="97"/>
    </row>
  </sheetData>
  <mergeCells count="24">
    <mergeCell ref="A22:A25"/>
    <mergeCell ref="A1:N1"/>
    <mergeCell ref="A2:N2"/>
    <mergeCell ref="A3:N3"/>
    <mergeCell ref="J4:K4"/>
    <mergeCell ref="D6:H6"/>
    <mergeCell ref="A7:A10"/>
    <mergeCell ref="A11:K11"/>
    <mergeCell ref="A12:A15"/>
    <mergeCell ref="A16:K16"/>
    <mergeCell ref="A17:A20"/>
    <mergeCell ref="A21:K21"/>
    <mergeCell ref="A26:K26"/>
    <mergeCell ref="A28:K28"/>
    <mergeCell ref="A30:B36"/>
    <mergeCell ref="C30:K32"/>
    <mergeCell ref="L30:N39"/>
    <mergeCell ref="C33:K36"/>
    <mergeCell ref="A37:B37"/>
    <mergeCell ref="C37:K37"/>
    <mergeCell ref="A38:B38"/>
    <mergeCell ref="C38:K38"/>
    <mergeCell ref="A39:B39"/>
    <mergeCell ref="C39:K39"/>
  </mergeCells>
  <pageMargins left="0.39370078740157483" right="0.23622047244094491" top="0.74803149606299213" bottom="0.74803149606299213" header="0.31496062992125984" footer="0.31496062992125984"/>
  <pageSetup paperSize="9" scale="69" fitToHeight="0"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62"/>
  <sheetViews>
    <sheetView view="pageLayout" topLeftCell="A3" zoomScaleNormal="100" workbookViewId="0">
      <selection activeCell="D15" sqref="D15:D21"/>
    </sheetView>
  </sheetViews>
  <sheetFormatPr defaultRowHeight="15" x14ac:dyDescent="0.25"/>
  <cols>
    <col min="2" max="2" width="35.28515625" customWidth="1"/>
    <col min="4" max="4" width="5.5703125" customWidth="1"/>
    <col min="5" max="5" width="6.140625" customWidth="1"/>
    <col min="6" max="6" width="6.5703125" customWidth="1"/>
    <col min="7" max="7" width="6" customWidth="1"/>
    <col min="8" max="8" width="6.7109375" customWidth="1"/>
    <col min="9" max="9" width="7.42578125" customWidth="1"/>
    <col min="11" max="11" width="8.140625" customWidth="1"/>
    <col min="12" max="13" width="7.5703125" customWidth="1"/>
  </cols>
  <sheetData>
    <row r="1" spans="1:13" ht="21" customHeight="1" x14ac:dyDescent="0.35">
      <c r="A1" s="112" t="s">
        <v>95</v>
      </c>
      <c r="B1" s="112"/>
      <c r="C1" s="112"/>
      <c r="D1" s="112"/>
      <c r="E1" s="112"/>
      <c r="F1" s="112"/>
      <c r="G1" s="112"/>
      <c r="H1" s="112"/>
      <c r="I1" s="112"/>
      <c r="J1" s="112"/>
      <c r="K1" s="112"/>
      <c r="L1" s="112"/>
      <c r="M1" s="112"/>
    </row>
    <row r="2" spans="1:13" ht="18.75" x14ac:dyDescent="0.3">
      <c r="A2" s="111" t="s">
        <v>97</v>
      </c>
      <c r="B2" s="111"/>
      <c r="C2" s="111"/>
      <c r="D2" s="111"/>
      <c r="E2" s="111"/>
      <c r="F2" s="111"/>
      <c r="G2" s="111"/>
      <c r="H2" s="111"/>
      <c r="I2" s="111"/>
      <c r="J2" s="111"/>
      <c r="K2" s="111"/>
      <c r="L2" s="111"/>
      <c r="M2" s="111"/>
    </row>
    <row r="3" spans="1:13" ht="21" x14ac:dyDescent="0.35">
      <c r="A3" s="113" t="s">
        <v>98</v>
      </c>
      <c r="B3" s="113"/>
      <c r="C3" s="113"/>
      <c r="D3" s="113"/>
      <c r="E3" s="113"/>
      <c r="F3" s="113"/>
      <c r="G3" s="113"/>
      <c r="H3" s="113"/>
      <c r="I3" s="113"/>
      <c r="J3" s="113"/>
      <c r="K3" s="113"/>
      <c r="L3" s="113"/>
      <c r="M3" s="113"/>
    </row>
    <row r="4" spans="1:13" ht="18.75" x14ac:dyDescent="0.4">
      <c r="A4" s="114" t="s">
        <v>0</v>
      </c>
      <c r="B4" s="114"/>
      <c r="C4" s="114"/>
      <c r="D4" s="114"/>
      <c r="E4" s="114"/>
      <c r="F4" s="114"/>
      <c r="G4" s="114"/>
      <c r="H4" s="114"/>
      <c r="I4" s="114"/>
      <c r="J4" s="114"/>
      <c r="K4" s="114"/>
      <c r="L4" s="114"/>
      <c r="M4" s="114"/>
    </row>
    <row r="5" spans="1:13" x14ac:dyDescent="0.25">
      <c r="A5" s="116" t="s">
        <v>96</v>
      </c>
      <c r="B5" s="116"/>
      <c r="C5" s="116"/>
      <c r="D5" s="116"/>
      <c r="E5" s="116"/>
      <c r="F5" s="116"/>
      <c r="G5" s="116"/>
      <c r="H5" s="116"/>
      <c r="I5" s="116"/>
      <c r="J5" s="116"/>
      <c r="K5" s="116"/>
      <c r="L5" s="116"/>
      <c r="M5" s="116"/>
    </row>
    <row r="6" spans="1:13" ht="14.25" customHeight="1" x14ac:dyDescent="0.25">
      <c r="A6" s="115" t="s">
        <v>37</v>
      </c>
      <c r="B6" s="115"/>
      <c r="C6" s="115"/>
      <c r="D6" s="115"/>
      <c r="E6" s="115"/>
      <c r="F6" s="115"/>
      <c r="G6" s="115"/>
      <c r="H6" s="115"/>
      <c r="I6" s="115"/>
      <c r="J6" s="115"/>
      <c r="K6" s="115"/>
      <c r="L6" s="115"/>
      <c r="M6" s="115"/>
    </row>
    <row r="7" spans="1:13" ht="15.75" thickBot="1" x14ac:dyDescent="0.3">
      <c r="A7" s="124" t="s">
        <v>40</v>
      </c>
      <c r="B7" s="124"/>
      <c r="C7" s="124"/>
      <c r="D7" s="124"/>
      <c r="E7" s="124"/>
      <c r="F7" s="124"/>
      <c r="G7" s="124"/>
      <c r="H7" s="124"/>
      <c r="I7" s="124"/>
      <c r="J7" s="124"/>
      <c r="K7" s="124"/>
      <c r="L7" s="124"/>
      <c r="M7" s="124"/>
    </row>
    <row r="8" spans="1:13" s="117" customFormat="1" ht="45" customHeight="1" thickBot="1" x14ac:dyDescent="0.3">
      <c r="A8" s="118" t="s">
        <v>1</v>
      </c>
      <c r="B8" s="119" t="s">
        <v>2</v>
      </c>
      <c r="C8" s="119" t="s">
        <v>4</v>
      </c>
      <c r="D8" s="120" t="s">
        <v>47</v>
      </c>
      <c r="E8" s="121"/>
      <c r="F8" s="121"/>
      <c r="G8" s="121"/>
      <c r="H8" s="122"/>
      <c r="I8" s="123" t="s">
        <v>62</v>
      </c>
      <c r="J8" s="119" t="s">
        <v>63</v>
      </c>
      <c r="K8" s="119" t="s">
        <v>45</v>
      </c>
      <c r="L8" s="119" t="s">
        <v>46</v>
      </c>
      <c r="M8" s="119" t="s">
        <v>8</v>
      </c>
    </row>
    <row r="62" spans="2:2" x14ac:dyDescent="0.25">
      <c r="B62" t="s">
        <v>94</v>
      </c>
    </row>
  </sheetData>
  <mergeCells count="8">
    <mergeCell ref="A1:M1"/>
    <mergeCell ref="D8:H8"/>
    <mergeCell ref="A2:M2"/>
    <mergeCell ref="A3:M3"/>
    <mergeCell ref="A4:M4"/>
    <mergeCell ref="A5:M5"/>
    <mergeCell ref="A7:M7"/>
    <mergeCell ref="A6:M6"/>
  </mergeCells>
  <pageMargins left="0.36" right="0.34" top="0.75" bottom="0.75" header="0.3" footer="0.3"/>
  <pageSetup paperSize="9" scale="75" orientation="portrait" cellComments="atEnd" r:id="rId1"/>
  <headerFooter>
    <oddHeader>&amp;C&amp;"-,Bold"Online Class 21st Sept 2020 to 2nd Oct 2020
Physical Class 2nd Nov 2020 to 26th Nov 2020
Online Class 30th Nov 2020 to 22nd Jan 202&amp;LSECOND SEM 2020&amp;REVENING PROGRAM</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D4"/>
  <sheetViews>
    <sheetView view="pageLayout" zoomScaleNormal="100" workbookViewId="0">
      <selection activeCell="D60" sqref="D60"/>
    </sheetView>
  </sheetViews>
  <sheetFormatPr defaultRowHeight="15" x14ac:dyDescent="0.25"/>
  <sheetData>
    <row r="4" spans="4:4" x14ac:dyDescent="0.25">
      <c r="D4" t="s">
        <v>94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67"/>
  <sheetViews>
    <sheetView view="pageLayout" zoomScaleNormal="100" workbookViewId="0">
      <selection activeCell="C10" sqref="C10"/>
    </sheetView>
  </sheetViews>
  <sheetFormatPr defaultRowHeight="15" x14ac:dyDescent="0.25"/>
  <cols>
    <col min="1" max="1" width="5" customWidth="1"/>
    <col min="2" max="2" width="32" customWidth="1"/>
    <col min="3" max="3" width="7.7109375" customWidth="1"/>
    <col min="4" max="4" width="8.42578125" customWidth="1"/>
    <col min="5" max="5" width="8.7109375" customWidth="1"/>
    <col min="6" max="6" width="8.140625" customWidth="1"/>
    <col min="7" max="7" width="8.28515625" customWidth="1"/>
    <col min="8" max="8" width="8" customWidth="1"/>
    <col min="9" max="9" width="6.85546875" customWidth="1"/>
    <col min="10" max="10" width="8.85546875" customWidth="1"/>
    <col min="11" max="11" width="7.28515625" customWidth="1"/>
    <col min="12" max="12" width="7.5703125" customWidth="1"/>
  </cols>
  <sheetData>
    <row r="1" spans="1:13" ht="21" customHeight="1" x14ac:dyDescent="0.35">
      <c r="A1" s="112" t="s">
        <v>95</v>
      </c>
      <c r="B1" s="112"/>
      <c r="C1" s="112"/>
      <c r="D1" s="112"/>
      <c r="E1" s="112"/>
      <c r="F1" s="112"/>
      <c r="G1" s="112"/>
      <c r="H1" s="112"/>
      <c r="I1" s="112"/>
      <c r="J1" s="112"/>
      <c r="K1" s="112"/>
      <c r="L1" s="112"/>
      <c r="M1" s="112"/>
    </row>
    <row r="2" spans="1:13" ht="18.75" x14ac:dyDescent="0.3">
      <c r="A2" s="111" t="s">
        <v>97</v>
      </c>
      <c r="B2" s="111"/>
      <c r="C2" s="111"/>
      <c r="D2" s="111"/>
      <c r="E2" s="111"/>
      <c r="F2" s="111"/>
      <c r="G2" s="111"/>
      <c r="H2" s="111"/>
      <c r="I2" s="111"/>
      <c r="J2" s="111"/>
      <c r="K2" s="111"/>
      <c r="L2" s="111"/>
      <c r="M2" s="111"/>
    </row>
    <row r="3" spans="1:13" ht="21" x14ac:dyDescent="0.35">
      <c r="A3" s="113" t="s">
        <v>98</v>
      </c>
      <c r="B3" s="113"/>
      <c r="C3" s="113"/>
      <c r="D3" s="113"/>
      <c r="E3" s="113"/>
      <c r="F3" s="113"/>
      <c r="G3" s="113"/>
      <c r="H3" s="113"/>
      <c r="I3" s="113"/>
      <c r="J3" s="113"/>
      <c r="K3" s="113"/>
      <c r="L3" s="113"/>
      <c r="M3" s="113"/>
    </row>
    <row r="4" spans="1:13" ht="18.75" x14ac:dyDescent="0.4">
      <c r="A4" s="114" t="s">
        <v>0</v>
      </c>
      <c r="B4" s="114"/>
      <c r="C4" s="114"/>
      <c r="D4" s="114"/>
      <c r="E4" s="114"/>
      <c r="F4" s="114"/>
      <c r="G4" s="114"/>
      <c r="H4" s="114"/>
      <c r="I4" s="114"/>
      <c r="J4" s="114"/>
      <c r="K4" s="114"/>
      <c r="L4" s="114"/>
      <c r="M4" s="114"/>
    </row>
    <row r="5" spans="1:13" x14ac:dyDescent="0.25">
      <c r="A5" s="116" t="s">
        <v>96</v>
      </c>
      <c r="B5" s="116"/>
      <c r="C5" s="116"/>
      <c r="D5" s="116"/>
      <c r="E5" s="116"/>
      <c r="F5" s="116"/>
      <c r="G5" s="116"/>
      <c r="H5" s="116"/>
      <c r="I5" s="116"/>
      <c r="J5" s="116"/>
      <c r="K5" s="116"/>
      <c r="L5" s="116"/>
      <c r="M5" s="116"/>
    </row>
    <row r="6" spans="1:13" ht="14.25" customHeight="1" x14ac:dyDescent="0.25">
      <c r="A6" s="115" t="s">
        <v>37</v>
      </c>
      <c r="B6" s="115"/>
      <c r="C6" s="115"/>
      <c r="D6" s="115"/>
      <c r="E6" s="115"/>
      <c r="F6" s="115"/>
      <c r="G6" s="115"/>
      <c r="H6" s="115"/>
      <c r="I6" s="115"/>
      <c r="J6" s="115"/>
      <c r="K6" s="115"/>
      <c r="L6" s="115"/>
      <c r="M6" s="115"/>
    </row>
    <row r="7" spans="1:13" ht="15.75" thickBot="1" x14ac:dyDescent="0.3">
      <c r="A7" s="124" t="s">
        <v>40</v>
      </c>
      <c r="B7" s="124"/>
      <c r="C7" s="124"/>
      <c r="D7" s="124"/>
      <c r="E7" s="124"/>
      <c r="F7" s="124"/>
      <c r="G7" s="124"/>
      <c r="H7" s="124"/>
      <c r="I7" s="124"/>
      <c r="J7" s="124"/>
      <c r="K7" s="124"/>
      <c r="L7" s="124"/>
      <c r="M7" s="124"/>
    </row>
    <row r="8" spans="1:13" s="117" customFormat="1" ht="45" customHeight="1" thickBot="1" x14ac:dyDescent="0.3">
      <c r="A8" s="118" t="s">
        <v>1</v>
      </c>
      <c r="B8" s="119" t="s">
        <v>2</v>
      </c>
      <c r="C8" s="119" t="s">
        <v>4</v>
      </c>
      <c r="D8" s="120" t="s">
        <v>47</v>
      </c>
      <c r="E8" s="121"/>
      <c r="F8" s="121"/>
      <c r="G8" s="121"/>
      <c r="H8" s="122"/>
      <c r="I8" s="123" t="s">
        <v>62</v>
      </c>
      <c r="J8" s="119" t="s">
        <v>63</v>
      </c>
      <c r="K8" s="119" t="s">
        <v>45</v>
      </c>
      <c r="L8" s="119" t="s">
        <v>46</v>
      </c>
      <c r="M8" s="119" t="s">
        <v>8</v>
      </c>
    </row>
    <row r="67" spans="6:6" x14ac:dyDescent="0.25">
      <c r="F67" t="s">
        <v>94</v>
      </c>
    </row>
  </sheetData>
  <mergeCells count="8">
    <mergeCell ref="D8:H8"/>
    <mergeCell ref="A1:M1"/>
    <mergeCell ref="A2:M2"/>
    <mergeCell ref="A3:M3"/>
    <mergeCell ref="A4:M4"/>
    <mergeCell ref="A6:M6"/>
    <mergeCell ref="A7:M7"/>
    <mergeCell ref="A5:M5"/>
  </mergeCells>
  <pageMargins left="0.39" right="0.41" top="0.75" bottom="0.75" header="0.3" footer="0.3"/>
  <pageSetup scale="7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view="pageLayout" zoomScaleNormal="100" workbookViewId="0">
      <selection activeCell="G13" sqref="G13"/>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Statement</vt:lpstr>
      <vt:lpstr>Sheet1</vt:lpstr>
      <vt:lpstr>Statement (2)</vt:lpstr>
      <vt:lpstr>Sheet2</vt:lpstr>
      <vt:lpstr>Sheet3</vt:lpstr>
      <vt:lpstr>Sheet4</vt:lpstr>
      <vt:lpstr>Sheet5</vt:lpstr>
      <vt:lpstr>Statement!Print_Area</vt:lpstr>
      <vt:lpstr>Sheet2!Print_Titles</vt:lpstr>
    </vt:vector>
  </TitlesOfParts>
  <Company>CtrlSoft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Irfan Ali</dc:creator>
  <cp:lastModifiedBy>Windows User</cp:lastModifiedBy>
  <cp:lastPrinted>2021-03-17T14:43:48Z</cp:lastPrinted>
  <dcterms:created xsi:type="dcterms:W3CDTF">2015-12-05T12:02:21Z</dcterms:created>
  <dcterms:modified xsi:type="dcterms:W3CDTF">2021-03-23T06:23:32Z</dcterms:modified>
</cp:coreProperties>
</file>